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istoric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egment Revenue Build" sheetId="4" state="visible" r:id="rId4"/>
    <sheet xmlns:r="http://schemas.openxmlformats.org/officeDocument/2006/relationships" name="Margin Bridge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Scenario Dashboard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;&quot;($&quot;#,##0\);\-"/>
    <numFmt numFmtId="165" formatCode="\$#,##0.00"/>
    <numFmt numFmtId="166" formatCode="0.0%"/>
    <numFmt numFmtId="167" formatCode="0.0\d"/>
    <numFmt numFmtId="168" formatCode="#,##0.0"/>
    <numFmt numFmtId="169" formatCode="\$#,##0.0;&quot;($&quot;#,##0.0\);\-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03B29"/>
      <sz val="14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sz val="9"/>
    </font>
    <font>
      <name val="Arial"/>
      <charset val="1"/>
      <family val="0"/>
      <i val="1"/>
      <color rgb="FF9C7A3C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color rgb="FF008000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2E5339"/>
        <bgColor rgb="FF203B29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166" fontId="15" fillId="0" borderId="1" applyAlignment="1" pivotButton="0" quotePrefix="0" xfId="0">
      <alignment horizontal="general" vertical="bottom"/>
    </xf>
    <xf numFmtId="164" fontId="13" fillId="3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6" fillId="4" borderId="1" applyAlignment="1" pivotButton="0" quotePrefix="0" xfId="0">
      <alignment horizontal="general" vertical="bottom"/>
    </xf>
    <xf numFmtId="166" fontId="13" fillId="0" borderId="1" applyAlignment="1" pivotButton="0" quotePrefix="0" xfId="0">
      <alignment horizontal="general" vertical="bottom"/>
    </xf>
    <xf numFmtId="167" fontId="13" fillId="0" borderId="1" applyAlignment="1" pivotButton="0" quotePrefix="0" xfId="0">
      <alignment horizontal="general" vertical="bottom"/>
    </xf>
    <xf numFmtId="168" fontId="17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9" fontId="17" fillId="0" borderId="1" applyAlignment="1" pivotButton="0" quotePrefix="0" xfId="0">
      <alignment horizontal="general" vertical="bottom"/>
    </xf>
    <xf numFmtId="169" fontId="15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general" vertical="center" wrapText="1"/>
    </xf>
    <xf numFmtId="0" fontId="14" fillId="0" borderId="0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7" fillId="3" borderId="1" applyAlignment="1" pivotButton="0" quotePrefix="0" xfId="0">
      <alignment horizontal="general" vertical="bottom"/>
    </xf>
    <xf numFmtId="165" fontId="15" fillId="3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10" fontId="15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5" fillId="0" borderId="1" applyAlignment="1" pivotButton="0" quotePrefix="0" xfId="0">
      <alignment horizontal="general" vertical="bottom"/>
    </xf>
    <xf numFmtId="165" fontId="13" fillId="0" borderId="1" applyAlignment="1" pivotButton="0" quotePrefix="0" xfId="0">
      <alignment horizontal="general" vertical="bottom"/>
    </xf>
    <xf numFmtId="166" fontId="15" fillId="0" borderId="1" applyAlignment="1" pivotButton="0" quotePrefix="0" xfId="0">
      <alignment horizontal="general" vertical="bottom"/>
    </xf>
    <xf numFmtId="164" fontId="13" fillId="3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 wrapText="1"/>
    </xf>
    <xf numFmtId="0" fontId="16" fillId="4" borderId="1" applyAlignment="1" pivotButton="0" quotePrefix="0" xfId="0">
      <alignment horizontal="general" vertical="bottom"/>
    </xf>
    <xf numFmtId="166" fontId="13" fillId="0" borderId="1" applyAlignment="1" pivotButton="0" quotePrefix="0" xfId="0">
      <alignment horizontal="general" vertical="bottom"/>
    </xf>
    <xf numFmtId="167" fontId="13" fillId="0" borderId="1" applyAlignment="1" pivotButton="0" quotePrefix="0" xfId="0">
      <alignment horizontal="general" vertical="bottom"/>
    </xf>
    <xf numFmtId="168" fontId="17" fillId="0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9" fontId="17" fillId="0" borderId="1" applyAlignment="1" pivotButton="0" quotePrefix="0" xfId="0">
      <alignment horizontal="general" vertical="bottom"/>
    </xf>
    <xf numFmtId="169" fontId="15" fillId="0" borderId="1" applyAlignment="1" pivotButton="0" quotePrefix="0" xfId="0">
      <alignment horizontal="general" vertical="bottom"/>
    </xf>
    <xf numFmtId="164" fontId="17" fillId="0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166" fontId="17" fillId="0" borderId="1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164" fontId="7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164" fontId="17" fillId="3" borderId="1" applyAlignment="1" pivotButton="0" quotePrefix="0" xfId="0">
      <alignment horizontal="general" vertical="bottom"/>
    </xf>
    <xf numFmtId="165" fontId="15" fillId="3" borderId="1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0" fontId="15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7A3C"/>
      <rgbColor rgb="FF800080"/>
      <rgbColor rgb="FF008080"/>
      <rgbColor rgb="FFCCCCCC"/>
      <rgbColor rgb="FF4F81BD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2E5339"/>
      <rgbColor rgb="FF993300"/>
      <rgbColor rgb="FF993366"/>
      <rgbColor rgb="FF333399"/>
      <rgbColor rgb="FF203B2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North America vs. Greater China, FY2026A-FY2029E (Active Scenario)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"North America"</f>
              <strCache>
                <ptCount val="1"/>
                <pt idx="0">
                  <v>North America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Build'!$B$5</f>
              <numCache>
                <formatCode>\$#,##0.0;"($"#,##0.0\);\-</formatCode>
                <ptCount val="1"/>
                <pt idx="0">
                  <v>20510</v>
                </pt>
              </numCache>
            </numRef>
          </val>
          <smooth val="1"/>
        </ser>
        <ser>
          <idx val="1"/>
          <order val="1"/>
          <tx>
            <strRef>
              <f>"Greater China"</f>
              <strCache>
                <ptCount val="1"/>
                <pt idx="0">
                  <v>Greater China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Build'!$C$5</f>
              <numCache>
                <formatCode>\$#,##0.0;"($"#,##0.0\);\-</formatCode>
                <ptCount val="1"/>
                <pt idx="0">
                  <v>21432.95</v>
                </pt>
              </numCache>
            </numRef>
          </val>
          <smooth val="1"/>
        </ser>
        <ser>
          <idx val="2"/>
          <order val="2"/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Build'!$D$5</f>
              <numCache>
                <formatCode>\$#,##0.0;"($"#,##0.0\);\-</formatCode>
                <ptCount val="1"/>
                <pt idx="0">
                  <v>22290.268</v>
                </pt>
              </numCache>
            </numRef>
          </val>
          <smooth val="1"/>
        </ser>
        <ser>
          <idx val="3"/>
          <order val="3"/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Build'!$E$5</f>
              <numCache>
                <formatCode>\$#,##0.0;"($"#,##0.0\);\-</formatCode>
                <ptCount val="1"/>
                <pt idx="0">
                  <v>23070.42738</v>
                </pt>
              </numCache>
            </numRef>
          </val>
          <smooth val="1"/>
        </ser>
        <ser>
          <idx val="4"/>
          <order val="4"/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Build'!$B$7</f>
              <numCache>
                <formatCode>\$#,##0.0;"($"#,##0.0\);\-</formatCode>
                <ptCount val="1"/>
                <pt idx="0">
                  <v>5850</v>
                </pt>
              </numCache>
            </numRef>
          </val>
          <smooth val="1"/>
        </ser>
        <ser>
          <idx val="5"/>
          <order val="5"/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Build'!$C$7</f>
              <numCache>
                <formatCode>\$#,##0.0;"($"#,##0.0\);\-</formatCode>
                <ptCount val="1"/>
                <pt idx="0">
                  <v>4797</v>
                </pt>
              </numCache>
            </numRef>
          </val>
          <smooth val="1"/>
        </ser>
        <ser>
          <idx val="6"/>
          <order val="6"/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Build'!$D$7</f>
              <numCache>
                <formatCode>\$#,##0.0;"($"#,##0.0\);\-</formatCode>
                <ptCount val="1"/>
                <pt idx="0">
                  <v>4509.18</v>
                </pt>
              </numCache>
            </numRef>
          </val>
          <smooth val="1"/>
        </ser>
        <ser>
          <idx val="7"/>
          <order val="7"/>
          <spPr>
            <a:solidFill xmlns:a="http://schemas.openxmlformats.org/drawingml/2006/main">
              <a:srgbClr val="ffffff"/>
            </a:solidFill>
            <a:ln xmlns:a="http://schemas.openxmlformats.org/drawingml/2006/main" w="0">
              <a:solidFill>
                <a:srgbClr val="ffff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FY2026A</v>
                  </pt>
                </lvl>
              </multiLvlStrCache>
              <f>'Segment Revenue Build'!$B$4:$E$4</f>
            </multiLvlStrRef>
          </cat>
          <val>
            <numRef>
              <f>'Segment Revenue Build'!$E$7</f>
              <numCache>
                <formatCode>\$#,##0.0;"($"#,##0.0\);\-</formatCode>
                <ptCount val="1"/>
                <pt idx="0">
                  <v>4599.3636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4573267"/>
        <axId val="71215788"/>
      </lineChart>
      <catAx>
        <axId val="7457326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1215788"/>
        <crosses val="autoZero"/>
        <auto val="1"/>
        <lblAlgn val="ctr"/>
        <lblOffset val="100"/>
        <noMultiLvlLbl val="0"/>
      </catAx>
      <valAx>
        <axId val="7121578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.0;&quot;($&quot;#,##0.0\);\-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457326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Consolidated Revenue by Scenario, FY2029E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'Scenario Dashboard'!$B$4:$D$4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'Scenario Dashboard'!$B$11</f>
              <numCache>
                <formatCode>\$#,##0;"($"#,##0\);\-</formatCode>
                <ptCount val="1"/>
                <pt idx="0">
                  <v>52219.4777195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'Scenario Dashboard'!$B$4:$D$4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'Scenario Dashboard'!$C$11</f>
              <numCache>
                <formatCode>\$#,##0;"($"#,##0\);\-</formatCode>
                <ptCount val="1"/>
                <pt idx="0">
                  <v>48431.8020795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'Scenario Dashboard'!$B$4:$D$4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'Scenario Dashboard'!$D$11</f>
              <numCache>
                <formatCode>\$#,##0;"($"#,##0\);\-</formatCode>
                <ptCount val="1"/>
                <pt idx="0">
                  <v>43679.081687</v>
                </pt>
              </numCache>
            </numRef>
          </val>
        </ser>
        <gapWidth val="150"/>
        <overlap val="0"/>
        <axId val="49386486"/>
        <axId val="64463398"/>
      </barChart>
      <catAx>
        <axId val="4938648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463398"/>
        <crosses val="autoZero"/>
        <auto val="1"/>
        <lblAlgn val="ctr"/>
        <lblOffset val="100"/>
        <noMultiLvlLbl val="0"/>
      </catAx>
      <valAx>
        <axId val="6446339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millions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;&quot;($&quot;#,##0\);\-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938648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Diluted EPS by Scenario, FY2029E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'Scenario Dashboard'!$B$14:$D$14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'Scenario Dashboard'!$B$19</f>
              <numCache>
                <formatCode>\$#,##0.00</formatCode>
                <ptCount val="1"/>
                <pt idx="0">
                  <v>3.39888537958963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'Scenario Dashboard'!$B$14:$D$14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'Scenario Dashboard'!$C$19</f>
              <numCache>
                <formatCode>\$#,##0.00</formatCode>
                <ptCount val="1"/>
                <pt idx="0">
                  <v>2.38634019454277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'Scenario Dashboard'!$B$14:$D$14</f>
              <strCache>
                <ptCount val="3"/>
                <pt idx="0">
                  <v>Bull</v>
                </pt>
                <pt idx="1">
                  <v>Base</v>
                </pt>
                <pt idx="2">
                  <v>Bear</v>
                </pt>
              </strCache>
            </strRef>
          </cat>
          <val>
            <numRef>
              <f>'Scenario Dashboard'!$D$19</f>
              <numCache>
                <formatCode>\$#,##0.00</formatCode>
                <ptCount val="1"/>
                <pt idx="0">
                  <v>0.661254075840366</v>
                </pt>
              </numCache>
            </numRef>
          </val>
        </ser>
        <gapWidth val="150"/>
        <overlap val="0"/>
        <axId val="61673715"/>
        <axId val="28408439"/>
      </barChart>
      <catAx>
        <axId val="6167371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8408439"/>
        <crosses val="autoZero"/>
        <auto val="1"/>
        <lblAlgn val="ctr"/>
        <lblOffset val="100"/>
        <noMultiLvlLbl val="0"/>
      </catAx>
      <valAx>
        <axId val="28408439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.00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167371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3</row>
      <rowOff>0</rowOff>
    </from>
    <to>
      <col>15</col>
      <colOff>255600</colOff>
      <row>20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0</colOff>
      <row>2</row>
      <rowOff>0</rowOff>
    </from>
    <to>
      <col>13</col>
      <colOff>504360</colOff>
      <row>18</row>
      <rowOff>8640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0</colOff>
      <row>18</row>
      <rowOff>0</rowOff>
    </from>
    <to>
      <col>13</col>
      <colOff>504360</colOff>
      <row>28</row>
      <rowOff>646560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44" min="1" max="1"/>
  </cols>
  <sheetData>
    <row r="1" ht="17.25" customHeight="1" s="45">
      <c r="A1" s="46" t="inlineStr">
        <is>
          <t>Nike (NKE) — Three-Statement Model &amp; Scenario Analysis</t>
        </is>
      </c>
    </row>
    <row r="3" ht="15" customHeight="1" s="45">
      <c r="A3" s="47" t="inlineStr">
        <is>
          <t>Thesis question:</t>
        </is>
      </c>
    </row>
    <row r="4" ht="39.75" customHeight="1" s="45">
      <c r="A4" s="48" t="inlineStr">
        <is>
          <t>At what pace does North America's turnaround need to continue to fully offset the Greater China decline by FY2028, and how sensitive is that answer to how long tariff-driven margin pressure persists?</t>
        </is>
      </c>
    </row>
    <row r="6" ht="15" customHeight="1" s="45">
      <c r="A6" s="47" t="inlineStr">
        <is>
          <t>Color legend (standard financial modeling convention):</t>
        </is>
      </c>
    </row>
    <row r="7" ht="15" customHeight="1" s="45">
      <c r="A7" s="49" t="inlineStr">
        <is>
          <t>Blue text</t>
        </is>
      </c>
      <c r="B7" s="50" t="inlineStr">
        <is>
          <t>Hardcoded input / assumption you set</t>
        </is>
      </c>
    </row>
    <row r="8" ht="15" customHeight="1" s="45">
      <c r="A8" s="51" t="inlineStr">
        <is>
          <t>Black text</t>
        </is>
      </c>
      <c r="B8" s="50" t="inlineStr">
        <is>
          <t>Formula — do not hardcode over these</t>
        </is>
      </c>
    </row>
    <row r="9" ht="15" customHeight="1" s="45">
      <c r="A9" s="52" t="inlineStr">
        <is>
          <t>Green text</t>
        </is>
      </c>
      <c r="B9" s="50" t="inlineStr">
        <is>
          <t>Link pulling from another tab</t>
        </is>
      </c>
    </row>
    <row r="10" ht="15" customHeight="1" s="45">
      <c r="A10" s="51" t="inlineStr">
        <is>
          <t>Yellow fill</t>
        </is>
      </c>
      <c r="B10" s="50" t="inlineStr">
        <is>
          <t>Placeholder — pull this number from the actual 10-K / press release</t>
        </is>
      </c>
    </row>
    <row r="12" ht="15" customHeight="1" s="45">
      <c r="A12" s="47" t="inlineStr">
        <is>
          <t>Model status: Complete</t>
        </is>
      </c>
    </row>
    <row r="13" ht="54.75" customHeight="1" s="45">
      <c r="A13" s="53" t="inlineStr">
        <is>
          <t>• Consolidated historical financial statements (FY2024-FY2026, sourced from 10-Ks)</t>
        </is>
      </c>
    </row>
    <row r="14" ht="15" customHeight="1" s="45">
      <c r="A14" s="50" t="inlineStr">
        <is>
          <t>• Segment revenue forecast (NIKE Brand geographies, Converse, Corporate/GBD)</t>
        </is>
      </c>
    </row>
    <row r="15" ht="15" customHeight="1" s="45">
      <c r="A15" s="50" t="inlineStr">
        <is>
          <t>• Bull / base / bear scenarios, grounded in real management guidance</t>
        </is>
      </c>
    </row>
    <row r="16" ht="15" customHeight="1" s="45">
      <c r="A16" s="50" t="inlineStr">
        <is>
          <t>• Margin bridge, reconciled (42.9% -&gt; 43.6% base case, +70 bps)</t>
        </is>
      </c>
    </row>
    <row r="17" ht="54.75" customHeight="1" s="45">
      <c r="A17" s="53" t="inlineStr">
        <is>
          <t>• Working-capital schedules (AR/inventory/AP days-based)</t>
        </is>
      </c>
    </row>
    <row r="18" ht="15" customHeight="1" s="45">
      <c r="A18" s="50" t="inlineStr">
        <is>
          <t>• Fully linked income statement, balance sheet, and cash flow statement</t>
        </is>
      </c>
    </row>
    <row r="19" ht="15" customHeight="1" s="45">
      <c r="A19" s="50" t="inlineStr">
        <is>
          <t>• Scenario stress-testing (balance check verified at $0 under all three scenarios)</t>
        </is>
      </c>
    </row>
    <row r="20" ht="15" customHeight="1" s="45">
      <c r="A20" s="50" t="inlineStr">
        <is>
          <t>• Breakeven analysis directly answering the thesis question</t>
        </is>
      </c>
    </row>
    <row r="21" ht="15" customHeight="1" s="45">
      <c r="A21" s="50" t="inlineStr">
        <is>
          <t>• Consensus sanity check against published Zacks Research estimates</t>
        </is>
      </c>
    </row>
    <row r="22" ht="27.75" customHeight="1" s="45">
      <c r="A22" s="53" t="inlineStr">
        <is>
          <t>• One-page executive summary</t>
        </is>
      </c>
    </row>
    <row r="23" ht="27.75" customHeight="1" s="45">
      <c r="A23" s="54" t="n"/>
    </row>
    <row r="24" ht="27.75" customHeight="1" s="45">
      <c r="A24" s="55" t="inlineStr">
        <is>
          <t>Potential future enhancements:</t>
        </is>
      </c>
    </row>
    <row r="25" ht="27.75" customHeight="1" s="45">
      <c r="A25" s="53" t="inlineStr">
        <is>
          <t>• Full PP&amp;E and depreciation schedule (currently a simplified % of prior PP&amp;E)</t>
        </is>
      </c>
    </row>
    <row r="26" ht="27.75" customHeight="1" s="45">
      <c r="A26" s="53" t="inlineStr">
        <is>
          <t>• Detailed debt-maturity schedule (currently held flat)</t>
        </is>
      </c>
    </row>
    <row r="27" ht="15" customHeight="1" s="45">
      <c r="A27" s="50" t="inlineStr">
        <is>
          <t>• Explicit share-repurchase assumptions (currently none modeled)</t>
        </is>
      </c>
    </row>
    <row r="28" ht="15" customHeight="1" s="45">
      <c r="A28" s="50" t="inlineStr">
        <is>
          <t>• Forecasting of remaining working-capital lines currently held flat</t>
        </is>
      </c>
    </row>
    <row r="29" ht="15" customHeight="1" s="45">
      <c r="A29" s="50" t="inlineStr">
        <is>
          <t>• DCF or comparable-company valuation</t>
        </is>
      </c>
    </row>
    <row r="31" ht="15" customHeight="1" s="45">
      <c r="A31" s="47" t="inlineStr">
        <is>
          <t>Key simplifying assumptions (explicit disclosure):</t>
        </is>
      </c>
    </row>
    <row r="32" ht="27.75" customHeight="1" s="45">
      <c r="A32" s="54" t="inlineStr">
        <is>
          <t>• Debt is held flat throughout the forecast, assuming scheduled maturities are refinanced and no material net borrowing or repayment occurs.</t>
        </is>
      </c>
    </row>
    <row r="33" ht="27.75" customHeight="1" s="45">
      <c r="A33" s="54" t="inlineStr">
        <is>
          <t>• Diluted shares are held constant because no share repurchase assumption is included, despite Nike's historical buyback activity.</t>
        </is>
      </c>
    </row>
    <row r="34" ht="27.75" customHeight="1" s="45">
      <c r="A34" s="54" t="inlineStr">
        <is>
          <t>• Depreciation is modeled as 12% of prior-period PP&amp;E (approximating an 8-year useful life) rather than a disclosed schedule.</t>
        </is>
      </c>
    </row>
    <row r="35" ht="27.75" customHeight="1" s="45">
      <c r="A35" s="54" t="inlineStr">
        <is>
          <t>• Other current/long-term assets and liabilities, and accrued liabilities, are held flat at FY2026A levels. Cash is calculated from the projected cash flow statement, not manually entered — it captures the residual impact of the operating, investing, and financing flows that are explicitly modeled, while these held-flat lines don't contribute additional variation.</t>
        </is>
      </c>
    </row>
    <row r="36" ht="27.75" customHeight="1" s="45">
      <c r="A36" s="54" t="inlineStr">
        <is>
          <t>• No share repurchases, debt repayment/issuance, or acquisitions are modeled as financing/investing activity beyond dividends and capex.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3" customWidth="1" style="44" min="2" max="4"/>
    <col width="55" customWidth="1" style="44" min="5" max="5"/>
  </cols>
  <sheetData>
    <row r="1" ht="17.25" customHeight="1" s="45">
      <c r="A1" s="46" t="inlineStr">
        <is>
          <t>NIKE, Inc. — Historical Financials ($ millions except EPS, fiscal year ended May 31)</t>
        </is>
      </c>
    </row>
    <row r="2" ht="15" customHeight="1" s="45">
      <c r="A2" s="56" t="inlineStr">
        <is>
          <t>$ in millions, except per-share data and percentages</t>
        </is>
      </c>
    </row>
    <row r="3" ht="15" customHeight="1" s="45">
      <c r="A3" s="47" t="inlineStr">
        <is>
          <t>Segment Revenue — NIKE Brand (geographic)</t>
        </is>
      </c>
    </row>
    <row r="4" ht="15" customHeight="1" s="45">
      <c r="A4" s="57" t="inlineStr">
        <is>
          <t>Segment</t>
        </is>
      </c>
      <c r="B4" s="57" t="inlineStr">
        <is>
          <t>FY2024</t>
        </is>
      </c>
      <c r="C4" s="57" t="inlineStr">
        <is>
          <t>FY2025</t>
        </is>
      </c>
      <c r="D4" s="57" t="inlineStr">
        <is>
          <t>FY2026</t>
        </is>
      </c>
      <c r="E4" s="57" t="inlineStr">
        <is>
          <t>Source</t>
        </is>
      </c>
    </row>
    <row r="5" ht="15" customHeight="1" s="45">
      <c r="A5" s="47" t="inlineStr">
        <is>
          <t>North America</t>
        </is>
      </c>
      <c r="B5" s="58" t="n">
        <v>21400</v>
      </c>
      <c r="C5" s="58" t="n">
        <v>19570</v>
      </c>
      <c r="D5" s="58" t="n">
        <v>20510</v>
      </c>
      <c r="E5" s="59" t="inlineStr">
        <is>
          <t>NIKE 10-K/press releases FY24-FY26; stockanalysis.com (Fiscal.ai) for FY25 detail</t>
        </is>
      </c>
    </row>
    <row r="6" ht="15" customHeight="1" s="45">
      <c r="A6" s="47" t="inlineStr">
        <is>
          <t>EMEA</t>
        </is>
      </c>
      <c r="B6" s="58" t="n">
        <v>13610</v>
      </c>
      <c r="C6" s="58" t="n">
        <v>12260</v>
      </c>
      <c r="D6" s="58" t="n">
        <v>12570</v>
      </c>
      <c r="E6" s="59" t="inlineStr">
        <is>
          <t>NIKE 10-K/press releases FY24-FY26; stockanalysis.com (Fiscal.ai) for FY25 detail</t>
        </is>
      </c>
    </row>
    <row r="7" ht="15" customHeight="1" s="45">
      <c r="A7" s="47" t="inlineStr">
        <is>
          <t>Greater China</t>
        </is>
      </c>
      <c r="B7" s="58" t="n">
        <v>7550</v>
      </c>
      <c r="C7" s="58" t="n">
        <v>6590</v>
      </c>
      <c r="D7" s="58" t="n">
        <v>5850</v>
      </c>
      <c r="E7" s="59" t="inlineStr">
        <is>
          <t>NIKE 10-K/press releases FY24-FY26; stockanalysis.com (Fiscal.ai) for FY25 detail</t>
        </is>
      </c>
    </row>
    <row r="8" ht="15" customHeight="1" s="45">
      <c r="A8" s="47" t="inlineStr">
        <is>
          <t>APLA</t>
        </is>
      </c>
      <c r="B8" s="58" t="n">
        <v>6730</v>
      </c>
      <c r="C8" s="58" t="n">
        <v>6250</v>
      </c>
      <c r="D8" s="58" t="n">
        <v>6240</v>
      </c>
      <c r="E8" s="59" t="inlineStr">
        <is>
          <t>NIKE 10-K/press releases FY24-FY26; stockanalysis.com (Fiscal.ai) for FY25 detail</t>
        </is>
      </c>
    </row>
    <row r="9" ht="15" customHeight="1" s="45">
      <c r="A9" s="47" t="inlineStr">
        <is>
          <t>Converse</t>
        </is>
      </c>
      <c r="B9" s="58" t="n">
        <v>2082</v>
      </c>
      <c r="C9" s="58" t="n">
        <v>1692</v>
      </c>
      <c r="D9" s="58" t="n">
        <v>1174</v>
      </c>
      <c r="E9" s="59" t="inlineStr">
        <is>
          <t>NIKE 10-K/press releases FY24-FY26; stockanalysis.com (Fiscal.ai) for FY25 detail</t>
        </is>
      </c>
    </row>
    <row r="10" ht="15" customHeight="1" s="45">
      <c r="A10" s="47" t="inlineStr">
        <is>
          <t>Other (Global Brand Div. &amp; Corporate)</t>
        </is>
      </c>
      <c r="B10" s="58" t="n">
        <v>3</v>
      </c>
      <c r="C10" s="58" t="n">
        <v>-49</v>
      </c>
      <c r="D10" s="58" t="n">
        <v>51</v>
      </c>
      <c r="E10" s="59" t="inlineStr">
        <is>
          <t>NIKE 10-K/press releases FY24-FY26; stockanalysis.com (Fiscal.ai) for FY25 detail</t>
        </is>
      </c>
    </row>
    <row r="11" ht="15" customHeight="1" s="45">
      <c r="A11" s="47" t="inlineStr">
        <is>
          <t>Total Revenue (check)</t>
        </is>
      </c>
      <c r="B11" s="60">
        <f>SUM(B5:B10)</f>
        <v/>
      </c>
      <c r="C11" s="60">
        <f>SUM(C5:C10)</f>
        <v/>
      </c>
      <c r="D11" s="60">
        <f>SUM(D5:D10)</f>
        <v/>
      </c>
    </row>
    <row r="13" ht="15" customHeight="1" s="45">
      <c r="A13" s="47" t="inlineStr">
        <is>
          <t>Income Statement</t>
        </is>
      </c>
    </row>
    <row r="14" ht="15" customHeight="1" s="45">
      <c r="A14" s="57" t="inlineStr">
        <is>
          <t>Metric</t>
        </is>
      </c>
      <c r="B14" s="57" t="inlineStr">
        <is>
          <t>FY2024</t>
        </is>
      </c>
      <c r="C14" s="57" t="inlineStr">
        <is>
          <t>FY2025</t>
        </is>
      </c>
      <c r="D14" s="57" t="inlineStr">
        <is>
          <t>FY2026</t>
        </is>
      </c>
      <c r="E14" s="57" t="inlineStr">
        <is>
          <t>Source</t>
        </is>
      </c>
    </row>
    <row r="15" ht="15" customHeight="1" s="45">
      <c r="A15" s="47" t="inlineStr">
        <is>
          <t>Total Revenue</t>
        </is>
      </c>
      <c r="B15" s="58" t="n">
        <v>51362</v>
      </c>
      <c r="C15" s="58" t="n">
        <v>46309</v>
      </c>
      <c r="D15" s="58" t="n">
        <v>46398</v>
      </c>
      <c r="E15" s="59" t="inlineStr">
        <is>
          <t>NIKE 10-K FY24-FY26; stockanalysis.com (Fiscal.ai)</t>
        </is>
      </c>
    </row>
    <row r="16" ht="15" customHeight="1" s="45">
      <c r="A16" s="47" t="inlineStr">
        <is>
          <t>Cost of Sales (COGS)</t>
        </is>
      </c>
      <c r="B16" s="58" t="n">
        <v>28475</v>
      </c>
      <c r="C16" s="58" t="n">
        <v>26519</v>
      </c>
      <c r="D16" s="58" t="n">
        <v>26487</v>
      </c>
      <c r="E16" s="59" t="inlineStr">
        <is>
          <t>NIKE 10-K FY24-FY26; stockanalysis.com (Fiscal.ai)</t>
        </is>
      </c>
    </row>
    <row r="17" ht="15" customHeight="1" s="45">
      <c r="A17" s="47" t="inlineStr">
        <is>
          <t>Gross Profit</t>
        </is>
      </c>
      <c r="B17" s="58" t="n">
        <v>22887</v>
      </c>
      <c r="C17" s="58" t="n">
        <v>19790</v>
      </c>
      <c r="D17" s="58" t="n">
        <v>19911</v>
      </c>
      <c r="E17" s="59" t="inlineStr">
        <is>
          <t>NIKE 10-K FY24-FY26; stockanalysis.com (Fiscal.ai)</t>
        </is>
      </c>
    </row>
    <row r="18" ht="15" customHeight="1" s="45">
      <c r="A18" s="47" t="inlineStr">
        <is>
          <t>SG&amp;A</t>
        </is>
      </c>
      <c r="B18" s="58" t="n">
        <v>16576</v>
      </c>
      <c r="C18" s="58" t="n">
        <v>16088</v>
      </c>
      <c r="D18" s="58" t="n">
        <v>16114</v>
      </c>
      <c r="E18" s="59" t="inlineStr">
        <is>
          <t>NIKE 10-K FY24-FY26; stockanalysis.com (Fiscal.ai)</t>
        </is>
      </c>
    </row>
    <row r="19" ht="15" customHeight="1" s="45">
      <c r="A19" s="47" t="inlineStr">
        <is>
          <t>Operating Income</t>
        </is>
      </c>
      <c r="B19" s="58" t="n">
        <v>6311</v>
      </c>
      <c r="C19" s="58" t="n">
        <v>3702</v>
      </c>
      <c r="D19" s="58" t="n">
        <v>3797</v>
      </c>
      <c r="E19" s="59" t="inlineStr">
        <is>
          <t>NIKE 10-K FY24-FY26; stockanalysis.com (Fiscal.ai)</t>
        </is>
      </c>
    </row>
    <row r="20" ht="15" customHeight="1" s="45">
      <c r="A20" s="47" t="inlineStr">
        <is>
          <t>Pretax Income</t>
        </is>
      </c>
      <c r="B20" s="58" t="n">
        <v>6700</v>
      </c>
      <c r="C20" s="58" t="n">
        <v>3885</v>
      </c>
      <c r="D20" s="58" t="n">
        <v>3900</v>
      </c>
      <c r="E20" s="59" t="inlineStr">
        <is>
          <t>NIKE 10-K FY24-FY26; stockanalysis.com (Fiscal.ai)</t>
        </is>
      </c>
    </row>
    <row r="21" ht="15" customHeight="1" s="45">
      <c r="A21" s="47" t="inlineStr">
        <is>
          <t>Income Tax Expense</t>
        </is>
      </c>
      <c r="B21" s="58" t="n">
        <v>1000</v>
      </c>
      <c r="C21" s="58" t="n">
        <v>666</v>
      </c>
      <c r="D21" s="58" t="n">
        <v>792</v>
      </c>
      <c r="E21" s="59" t="inlineStr">
        <is>
          <t>NIKE 10-K FY24-FY26; stockanalysis.com (Fiscal.ai)</t>
        </is>
      </c>
    </row>
    <row r="22" ht="15" customHeight="1" s="45">
      <c r="A22" s="47" t="inlineStr">
        <is>
          <t>Net Income</t>
        </is>
      </c>
      <c r="B22" s="58" t="n">
        <v>5700</v>
      </c>
      <c r="C22" s="58" t="n">
        <v>3219</v>
      </c>
      <c r="D22" s="58" t="n">
        <v>3108</v>
      </c>
      <c r="E22" s="59" t="inlineStr">
        <is>
          <t>NIKE 10-K FY24-FY26; stockanalysis.com (Fiscal.ai)</t>
        </is>
      </c>
    </row>
    <row r="23" ht="15" customHeight="1" s="45">
      <c r="A23" s="47" t="inlineStr">
        <is>
          <t>Diluted EPS ($)</t>
        </is>
      </c>
      <c r="B23" s="61" t="n">
        <v>3.73</v>
      </c>
      <c r="C23" s="61" t="n">
        <v>2.16</v>
      </c>
      <c r="D23" s="61" t="n">
        <v>2.1</v>
      </c>
      <c r="E23" s="59" t="inlineStr">
        <is>
          <t>NIKE 10-K FY24-FY26; stockanalysis.com (Fiscal.ai)</t>
        </is>
      </c>
    </row>
    <row r="25" ht="15" customHeight="1" s="45">
      <c r="A25" s="47" t="inlineStr">
        <is>
          <t>Gross Margin %</t>
        </is>
      </c>
      <c r="B25" s="62">
        <f>B17/B15</f>
        <v/>
      </c>
      <c r="C25" s="62">
        <f>C17/C15</f>
        <v/>
      </c>
      <c r="D25" s="62">
        <f>D17/D15</f>
        <v/>
      </c>
    </row>
    <row r="26" ht="15" customHeight="1" s="45">
      <c r="A26" s="47" t="inlineStr">
        <is>
          <t>Net Margin %</t>
        </is>
      </c>
      <c r="B26" s="62">
        <f>B22/B15</f>
        <v/>
      </c>
      <c r="C26" s="62">
        <f>C22/C15</f>
        <v/>
      </c>
      <c r="D26" s="62">
        <f>D22/D15</f>
        <v/>
      </c>
    </row>
    <row r="29" ht="15" customHeight="1" s="45">
      <c r="A29" s="47" t="inlineStr">
        <is>
          <t>Balance Sheet (selected lines)</t>
        </is>
      </c>
    </row>
    <row r="30" ht="15" customHeight="1" s="45">
      <c r="A30" s="57" t="inlineStr">
        <is>
          <t>Metric</t>
        </is>
      </c>
      <c r="B30" s="57" t="inlineStr">
        <is>
          <t>FY2024</t>
        </is>
      </c>
      <c r="C30" s="57" t="inlineStr">
        <is>
          <t>FY2025</t>
        </is>
      </c>
      <c r="D30" s="57" t="inlineStr">
        <is>
          <t>FY2026</t>
        </is>
      </c>
      <c r="E30" s="57" t="inlineStr">
        <is>
          <t>Source</t>
        </is>
      </c>
    </row>
    <row r="31" ht="15" customHeight="1" s="45">
      <c r="A31" s="50" t="inlineStr">
        <is>
          <t>Cash &amp; Equivalents</t>
        </is>
      </c>
      <c r="B31" s="58" t="n">
        <v>9860</v>
      </c>
      <c r="C31" s="58" t="n">
        <v>7464</v>
      </c>
      <c r="D31" s="58" t="n">
        <v>7563</v>
      </c>
      <c r="E31" s="59" t="inlineStr">
        <is>
          <t>NIKE 10-K FY24-FY26 Consolidated Balance Sheets; stockanalysis.com</t>
        </is>
      </c>
    </row>
    <row r="32" ht="15" customHeight="1" s="45">
      <c r="A32" s="50" t="inlineStr">
        <is>
          <t>Short-Term Investments</t>
        </is>
      </c>
      <c r="B32" s="58" t="n">
        <v>1722</v>
      </c>
      <c r="C32" s="58" t="n">
        <v>1687</v>
      </c>
      <c r="D32" s="58" t="n">
        <v>1464</v>
      </c>
      <c r="E32" s="59" t="inlineStr">
        <is>
          <t>NIKE 10-K FY24-FY26 Consolidated Balance Sheets; stockanalysis.com</t>
        </is>
      </c>
    </row>
    <row r="33" ht="15" customHeight="1" s="45">
      <c r="A33" s="50" t="inlineStr">
        <is>
          <t>Accounts Receivable, net</t>
        </is>
      </c>
      <c r="B33" s="58" t="n">
        <v>4427</v>
      </c>
      <c r="C33" s="58" t="n">
        <v>4717</v>
      </c>
      <c r="D33" s="58" t="n">
        <v>5931</v>
      </c>
      <c r="E33" s="59" t="inlineStr">
        <is>
          <t>NIKE 10-K FY24-FY26 Consolidated Balance Sheets; stockanalysis.com</t>
        </is>
      </c>
    </row>
    <row r="34" ht="15" customHeight="1" s="45">
      <c r="A34" s="50" t="inlineStr">
        <is>
          <t>Inventories</t>
        </is>
      </c>
      <c r="B34" s="58" t="n">
        <v>7519</v>
      </c>
      <c r="C34" s="58" t="n">
        <v>7489</v>
      </c>
      <c r="D34" s="58" t="n">
        <v>7501</v>
      </c>
      <c r="E34" s="59" t="inlineStr">
        <is>
          <t>NIKE 10-K FY24-FY26 Consolidated Balance Sheets; stockanalysis.com</t>
        </is>
      </c>
    </row>
    <row r="35" ht="15" customHeight="1" s="45">
      <c r="A35" s="50" t="inlineStr">
        <is>
          <t>Other Current Assets</t>
        </is>
      </c>
      <c r="B35" s="58" t="n">
        <v>1854</v>
      </c>
      <c r="C35" s="58" t="n">
        <v>2005</v>
      </c>
      <c r="D35" s="58" t="n">
        <v>2144</v>
      </c>
      <c r="E35" s="59" t="inlineStr">
        <is>
          <t>NIKE 10-K FY24-FY26 Consolidated Balance Sheets; stockanalysis.com</t>
        </is>
      </c>
    </row>
    <row r="36" ht="15" customHeight="1" s="45">
      <c r="A36" s="47" t="inlineStr">
        <is>
          <t>Total Current Assets</t>
        </is>
      </c>
      <c r="B36" s="63" t="n">
        <v>25382</v>
      </c>
      <c r="C36" s="63" t="n">
        <v>23362</v>
      </c>
      <c r="D36" s="63" t="n">
        <v>24603</v>
      </c>
      <c r="E36" s="59" t="inlineStr">
        <is>
          <t>NIKE 10-K FY24-FY26 Consolidated Balance Sheets; stockanalysis.com</t>
        </is>
      </c>
    </row>
    <row r="37" ht="15" customHeight="1" s="45">
      <c r="A37" s="50" t="inlineStr">
        <is>
          <t>Net PP&amp;E</t>
        </is>
      </c>
      <c r="B37" s="58" t="n">
        <v>7718</v>
      </c>
      <c r="C37" s="58" t="n">
        <v>7540</v>
      </c>
      <c r="D37" s="58" t="n">
        <v>7634</v>
      </c>
      <c r="E37" s="59" t="inlineStr">
        <is>
          <t>NIKE 10-K FY24-FY26 Consolidated Balance Sheets; stockanalysis.com</t>
        </is>
      </c>
    </row>
    <row r="38" ht="15" customHeight="1" s="45">
      <c r="A38" s="50" t="inlineStr">
        <is>
          <t>Goodwill &amp; Intangibles</t>
        </is>
      </c>
      <c r="B38" s="58" t="n">
        <v>499</v>
      </c>
      <c r="C38" s="58" t="n">
        <v>499</v>
      </c>
      <c r="D38" s="58" t="n">
        <v>499</v>
      </c>
      <c r="E38" s="59" t="inlineStr">
        <is>
          <t>NIKE 10-K FY24-FY26 Consolidated Balance Sheets; stockanalysis.com</t>
        </is>
      </c>
    </row>
    <row r="39" ht="15" customHeight="1" s="45">
      <c r="A39" s="50" t="inlineStr">
        <is>
          <t>Other Long-Term Assets</t>
        </is>
      </c>
      <c r="B39" s="58" t="n">
        <v>4511</v>
      </c>
      <c r="C39" s="58" t="n">
        <v>5178</v>
      </c>
      <c r="D39" s="58" t="n">
        <v>5674</v>
      </c>
      <c r="E39" s="59" t="inlineStr">
        <is>
          <t>NIKE 10-K FY24-FY26 Consolidated Balance Sheets; stockanalysis.com</t>
        </is>
      </c>
    </row>
    <row r="40" ht="15" customHeight="1" s="45">
      <c r="A40" s="47" t="inlineStr">
        <is>
          <t>Total Assets</t>
        </is>
      </c>
      <c r="B40" s="63" t="n">
        <v>38110</v>
      </c>
      <c r="C40" s="63" t="n">
        <v>36579</v>
      </c>
      <c r="D40" s="63" t="n">
        <v>38410</v>
      </c>
      <c r="E40" s="59" t="inlineStr">
        <is>
          <t>NIKE 10-K FY24-FY26 Consolidated Balance Sheets; stockanalysis.com</t>
        </is>
      </c>
    </row>
    <row r="41" ht="15" customHeight="1" s="45">
      <c r="A41" s="50" t="inlineStr">
        <is>
          <t>Accounts Payable</t>
        </is>
      </c>
      <c r="B41" s="58" t="n">
        <v>2851</v>
      </c>
      <c r="C41" s="58" t="n">
        <v>3479</v>
      </c>
      <c r="D41" s="58" t="n">
        <v>3600</v>
      </c>
      <c r="E41" s="59" t="inlineStr">
        <is>
          <t>NIKE 10-K FY24-FY26 Consolidated Balance Sheets; stockanalysis.com</t>
        </is>
      </c>
    </row>
    <row r="42" ht="15" customHeight="1" s="45">
      <c r="A42" s="50" t="inlineStr">
        <is>
          <t>Accrued Liabilities</t>
        </is>
      </c>
      <c r="B42" s="58" t="n">
        <v>5725</v>
      </c>
      <c r="C42" s="58" t="n">
        <v>5916</v>
      </c>
      <c r="D42" s="58" t="n">
        <v>6092</v>
      </c>
      <c r="E42" s="59" t="inlineStr">
        <is>
          <t>NIKE 10-K FY24-FY26 Consolidated Balance Sheets; stockanalysis.com</t>
        </is>
      </c>
    </row>
    <row r="43" ht="15" customHeight="1" s="45">
      <c r="A43" s="50" t="inlineStr">
        <is>
          <t>Current Portion of Debt &amp; Leases</t>
        </is>
      </c>
      <c r="B43" s="58" t="n">
        <v>1477</v>
      </c>
      <c r="C43" s="58" t="n">
        <v>502</v>
      </c>
      <c r="D43" s="58" t="n">
        <v>2478</v>
      </c>
      <c r="E43" s="59" t="inlineStr">
        <is>
          <t>NIKE 10-K FY24-FY26 Consolidated Balance Sheets; stockanalysis.com</t>
        </is>
      </c>
    </row>
    <row r="44" ht="15" customHeight="1" s="45">
      <c r="A44" s="50" t="inlineStr">
        <is>
          <t>Other Current Liabilities</t>
        </is>
      </c>
      <c r="B44" s="58" t="n">
        <v>534</v>
      </c>
      <c r="C44" s="58" t="n">
        <v>669</v>
      </c>
      <c r="D44" s="58" t="n">
        <v>377</v>
      </c>
      <c r="E44" s="59" t="inlineStr">
        <is>
          <t>NIKE 10-K FY24-FY26 Consolidated Balance Sheets; stockanalysis.com</t>
        </is>
      </c>
    </row>
    <row r="45" ht="15" customHeight="1" s="45">
      <c r="A45" s="47" t="inlineStr">
        <is>
          <t>Total Current Liabilities</t>
        </is>
      </c>
      <c r="B45" s="63" t="n">
        <v>10593</v>
      </c>
      <c r="C45" s="63" t="n">
        <v>10566</v>
      </c>
      <c r="D45" s="63" t="n">
        <v>12547</v>
      </c>
      <c r="E45" s="59" t="inlineStr">
        <is>
          <t>NIKE 10-K FY24-FY26 Consolidated Balance Sheets; stockanalysis.com</t>
        </is>
      </c>
    </row>
    <row r="46" ht="15" customHeight="1" s="45">
      <c r="A46" s="50" t="inlineStr">
        <is>
          <t>Long-Term Debt</t>
        </is>
      </c>
      <c r="B46" s="58" t="n">
        <v>7903</v>
      </c>
      <c r="C46" s="58" t="n">
        <v>7961</v>
      </c>
      <c r="D46" s="58" t="n">
        <v>5942</v>
      </c>
      <c r="E46" s="59" t="inlineStr">
        <is>
          <t>NIKE 10-K FY24-FY26 Consolidated Balance Sheets; stockanalysis.com</t>
        </is>
      </c>
    </row>
    <row r="47" ht="15" customHeight="1" s="45">
      <c r="A47" s="50" t="inlineStr">
        <is>
          <t>Long-Term Lease Liabilities</t>
        </is>
      </c>
      <c r="B47" s="58" t="n">
        <v>2566</v>
      </c>
      <c r="C47" s="58" t="n">
        <v>2550</v>
      </c>
      <c r="D47" s="58" t="n">
        <v>2613</v>
      </c>
      <c r="E47" s="59" t="inlineStr">
        <is>
          <t>NIKE 10-K FY24-FY26 Consolidated Balance Sheets; stockanalysis.com</t>
        </is>
      </c>
    </row>
    <row r="48" ht="15" customHeight="1" s="45">
      <c r="A48" s="50" t="inlineStr">
        <is>
          <t>Other Long-Term Liabilities</t>
        </is>
      </c>
      <c r="B48" s="58" t="n">
        <v>2618</v>
      </c>
      <c r="C48" s="58" t="n">
        <v>2289</v>
      </c>
      <c r="D48" s="58" t="n">
        <v>2443</v>
      </c>
      <c r="E48" s="59" t="inlineStr">
        <is>
          <t>NIKE 10-K FY24-FY26 Consolidated Balance Sheets; stockanalysis.com</t>
        </is>
      </c>
    </row>
    <row r="49" ht="15" customHeight="1" s="45">
      <c r="A49" s="47" t="inlineStr">
        <is>
          <t>Total Liabilities</t>
        </is>
      </c>
      <c r="B49" s="63" t="n">
        <v>23680</v>
      </c>
      <c r="C49" s="63" t="n">
        <v>23366</v>
      </c>
      <c r="D49" s="63" t="n">
        <v>23545</v>
      </c>
      <c r="E49" s="59" t="inlineStr">
        <is>
          <t>NIKE 10-K FY24-FY26 Consolidated Balance Sheets; stockanalysis.com</t>
        </is>
      </c>
    </row>
    <row r="50" ht="15" customHeight="1" s="45">
      <c r="A50" s="47" t="inlineStr">
        <is>
          <t>Total Shareholders' Equity</t>
        </is>
      </c>
      <c r="B50" s="63" t="n">
        <v>14430</v>
      </c>
      <c r="C50" s="63" t="n">
        <v>13213</v>
      </c>
      <c r="D50" s="63" t="n">
        <v>14865</v>
      </c>
      <c r="E50" s="59" t="inlineStr">
        <is>
          <t>NIKE 10-K FY24-FY26 Consolidated Balance Sheets; stockanalysis.com</t>
        </is>
      </c>
    </row>
    <row r="52" ht="15" customHeight="1" s="45">
      <c r="A52" s="47" t="inlineStr">
        <is>
          <t>Balance check (Assets - Liab - Equity, should = 0)</t>
        </is>
      </c>
      <c r="B52" s="60">
        <f>B40-B49-B50</f>
        <v/>
      </c>
      <c r="C52" s="60">
        <f>C40-C49-C50</f>
        <v/>
      </c>
      <c r="D52" s="60">
        <f>D40-D49-D50</f>
        <v/>
      </c>
    </row>
    <row r="55" ht="15" customHeight="1" s="45">
      <c r="A55" s="47" t="inlineStr">
        <is>
          <t>Cash Flow (selected lines)</t>
        </is>
      </c>
    </row>
    <row r="56" ht="15" customHeight="1" s="45">
      <c r="A56" s="57" t="inlineStr">
        <is>
          <t>Metric</t>
        </is>
      </c>
      <c r="B56" s="57" t="inlineStr">
        <is>
          <t>FY2024</t>
        </is>
      </c>
      <c r="C56" s="57" t="inlineStr">
        <is>
          <t>FY2025</t>
        </is>
      </c>
      <c r="D56" s="57" t="inlineStr">
        <is>
          <t>FY2026</t>
        </is>
      </c>
      <c r="E56" s="57" t="inlineStr">
        <is>
          <t>Source</t>
        </is>
      </c>
    </row>
    <row r="57" ht="15" customHeight="1" s="45">
      <c r="A57" s="47" t="inlineStr">
        <is>
          <t>Cash from Operating Activities</t>
        </is>
      </c>
      <c r="B57" s="58" t="n">
        <v>7429</v>
      </c>
      <c r="C57" s="58" t="n">
        <v>3698</v>
      </c>
      <c r="D57" s="58" t="n">
        <v>2868</v>
      </c>
      <c r="E57" s="59" t="inlineStr">
        <is>
          <t>stockanalysis.com (Fiscal.ai); NIKE FY2026 shareholder returns press commentary</t>
        </is>
      </c>
    </row>
    <row r="58" ht="15" customHeight="1" s="45">
      <c r="A58" s="47" t="inlineStr">
        <is>
          <t>Capital Expenditures</t>
        </is>
      </c>
      <c r="B58" s="58" t="n">
        <v>-812</v>
      </c>
      <c r="C58" s="58" t="n">
        <v>-430</v>
      </c>
      <c r="D58" s="58" t="n">
        <v>-684</v>
      </c>
      <c r="E58" s="59" t="inlineStr">
        <is>
          <t>stockanalysis.com (Fiscal.ai); NIKE FY2026 shareholder returns press commentary</t>
        </is>
      </c>
    </row>
    <row r="59" ht="15" customHeight="1" s="45">
      <c r="A59" s="47" t="inlineStr">
        <is>
          <t>Free Cash Flow</t>
        </is>
      </c>
      <c r="B59" s="58" t="n">
        <v>6617</v>
      </c>
      <c r="C59" s="58" t="n">
        <v>3268</v>
      </c>
      <c r="D59" s="58" t="n">
        <v>2184</v>
      </c>
      <c r="E59" s="59" t="inlineStr">
        <is>
          <t>stockanalysis.com (Fiscal.ai); NIKE FY2026 shareholder returns press commentary</t>
        </is>
      </c>
    </row>
    <row r="60" ht="15" customHeight="1" s="45">
      <c r="A60" s="47" t="inlineStr">
        <is>
          <t>Dividends Paid (approx.)</t>
        </is>
      </c>
      <c r="B60" s="58" t="n">
        <v>-2183</v>
      </c>
      <c r="C60" s="58" t="n">
        <v>-2331</v>
      </c>
      <c r="D60" s="58" t="n">
        <v>-2400</v>
      </c>
      <c r="E60" s="59" t="inlineStr">
        <is>
          <t>stockanalysis.com (Fiscal.ai); NIKE FY2026 shareholder returns press commentary</t>
        </is>
      </c>
    </row>
    <row r="62" ht="30" customHeight="1" s="45">
      <c r="A62" s="64" t="inlineStr">
        <is>
          <t>Note: Cash flow shown is a summary. Full operating/investing/financing detail (D&amp;A, working capital changes, share repurchases) should be pulled from the 10-K Consolidated Statements of Cash Flows if you want a fully built CF statement.</t>
        </is>
      </c>
    </row>
  </sheetData>
  <mergeCells count="2">
    <mergeCell ref="A1:E1"/>
    <mergeCell ref="A62:E6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44" min="1" max="1"/>
    <col width="10" customWidth="1" style="44" min="2" max="2"/>
    <col width="14" customWidth="1" style="44" min="3" max="5"/>
    <col width="46" customWidth="1" style="44" min="6" max="6"/>
  </cols>
  <sheetData>
    <row r="1" ht="17.25" customHeight="1" s="45">
      <c r="A1" s="46" t="inlineStr">
        <is>
          <t>Growth &amp; Margin Assumptions by Scenario</t>
        </is>
      </c>
    </row>
    <row r="3" ht="15" customHeight="1" s="45">
      <c r="A3" s="47" t="inlineStr">
        <is>
          <t>Scenario selector (type Bull, Base, or Bear):</t>
        </is>
      </c>
      <c r="C3" s="65" t="inlineStr">
        <is>
          <t>Base</t>
        </is>
      </c>
      <c r="D3" s="59" t="inlineStr">
        <is>
          <t>&lt;- change this cell to drive the Segment Revenue Build tab</t>
        </is>
      </c>
    </row>
    <row r="5" ht="15" customHeight="1" s="45">
      <c r="A5" s="57" t="inlineStr">
        <is>
          <t>Segment</t>
        </is>
      </c>
      <c r="B5" s="57" t="inlineStr">
        <is>
          <t>Scenario</t>
        </is>
      </c>
      <c r="C5" s="57" t="inlineStr">
        <is>
          <t>FY27 Growth %</t>
        </is>
      </c>
      <c r="D5" s="57" t="inlineStr">
        <is>
          <t>FY28 Growth %</t>
        </is>
      </c>
      <c r="E5" s="57" t="inlineStr">
        <is>
          <t>FY29 Growth %</t>
        </is>
      </c>
      <c r="F5" s="57" t="inlineStr">
        <is>
          <t>Rationale</t>
        </is>
      </c>
    </row>
    <row r="6" ht="15" customHeight="1" s="45">
      <c r="A6" s="47" t="inlineStr">
        <is>
          <t>North America</t>
        </is>
      </c>
      <c r="B6" s="50" t="inlineStr">
        <is>
          <t>Bull</t>
        </is>
      </c>
      <c r="C6" s="66" t="n">
        <v>0.07000000000000001</v>
      </c>
      <c r="D6" s="66" t="n">
        <v>0.055</v>
      </c>
      <c r="E6" s="66" t="n">
        <v>0.045</v>
      </c>
      <c r="F6" s="59" t="inlineStr">
        <is>
          <t>NA turnaround fully executes; wholesale strength (grew 24% in Q2 FY26) broadens across channels</t>
        </is>
      </c>
    </row>
    <row r="7" ht="15" customHeight="1" s="45">
      <c r="A7" s="47" t="inlineStr">
        <is>
          <t>North America</t>
        </is>
      </c>
      <c r="B7" s="50" t="inlineStr">
        <is>
          <t>Base</t>
        </is>
      </c>
      <c r="C7" s="66" t="n">
        <v>0.045</v>
      </c>
      <c r="D7" s="66" t="n">
        <v>0.04</v>
      </c>
      <c r="E7" s="66" t="n">
        <v>0.035</v>
      </c>
      <c r="F7" s="59" t="inlineStr">
        <is>
          <t>Continues FY26 pattern: NA grew 9% in Q2 FY26 on wholesale strength; moderates as comps normalize</t>
        </is>
      </c>
    </row>
    <row r="8" ht="15" customHeight="1" s="45">
      <c r="A8" s="47" t="inlineStr">
        <is>
          <t>North America</t>
        </is>
      </c>
      <c r="B8" s="50" t="inlineStr">
        <is>
          <t>Bear</t>
        </is>
      </c>
      <c r="C8" s="66" t="n">
        <v>0.015</v>
      </c>
      <c r="D8" s="66" t="n">
        <v>0.01</v>
      </c>
      <c r="E8" s="66" t="n">
        <v>0.01</v>
      </c>
      <c r="F8" s="59" t="inlineStr">
        <is>
          <t>NA momentum stalls if tariff costs get passed to consumers and demand softens</t>
        </is>
      </c>
    </row>
    <row r="9" ht="15" customHeight="1" s="45">
      <c r="A9" s="47" t="inlineStr">
        <is>
          <t>Greater China</t>
        </is>
      </c>
      <c r="B9" s="50" t="inlineStr">
        <is>
          <t>Bull</t>
        </is>
      </c>
      <c r="C9" s="66" t="n">
        <v>-0.08</v>
      </c>
      <c r="D9" s="66" t="n">
        <v>0.03</v>
      </c>
      <c r="E9" s="66" t="n">
        <v>0.06</v>
      </c>
      <c r="F9" s="59" t="inlineStr">
        <is>
          <t>China stabilizes faster than guided; FY27 Q1 seen as last major tariff-pressure quarter per mgmt</t>
        </is>
      </c>
    </row>
    <row r="10" ht="15" customHeight="1" s="45">
      <c r="A10" s="47" t="inlineStr">
        <is>
          <t>Greater China</t>
        </is>
      </c>
      <c r="B10" s="50" t="inlineStr">
        <is>
          <t>Base</t>
        </is>
      </c>
      <c r="C10" s="66" t="n">
        <v>-0.18</v>
      </c>
      <c r="D10" s="66" t="n">
        <v>-0.06</v>
      </c>
      <c r="E10" s="66" t="n">
        <v>0.02</v>
      </c>
      <c r="F10" s="59" t="inlineStr">
        <is>
          <t>Base case: Q3 FY26 guidance called for ~20% Greater China decline in Q4; RBC pushed recovery to FY27+; gradual stabilization assumed</t>
        </is>
      </c>
    </row>
    <row r="11" ht="15" customHeight="1" s="45">
      <c r="A11" s="47" t="inlineStr">
        <is>
          <t>Greater China</t>
        </is>
      </c>
      <c r="B11" s="50" t="inlineStr">
        <is>
          <t>Bear</t>
        </is>
      </c>
      <c r="C11" s="66" t="n">
        <v>-0.22</v>
      </c>
      <c r="D11" s="66" t="n">
        <v>-0.14</v>
      </c>
      <c r="E11" s="66" t="n">
        <v>-0.08</v>
      </c>
      <c r="F11" s="59" t="inlineStr">
        <is>
          <t>China share losses continue; CEO Hill acknowledged results 'aren't there yet' in Greater China as of FY26 Q4</t>
        </is>
      </c>
    </row>
    <row r="12" ht="15" customHeight="1" s="45">
      <c r="A12" s="47" t="inlineStr">
        <is>
          <t>EMEA</t>
        </is>
      </c>
      <c r="B12" s="50" t="inlineStr">
        <is>
          <t>Bull</t>
        </is>
      </c>
      <c r="C12" s="66" t="n">
        <v>0.03</v>
      </c>
      <c r="D12" s="66" t="n">
        <v>0.03</v>
      </c>
      <c r="E12" s="66" t="n">
        <v>0.03</v>
      </c>
      <c r="F12" s="59" t="inlineStr">
        <is>
          <t>EMEA holds flat-to-modest growth; no major catalyst identified either direction</t>
        </is>
      </c>
    </row>
    <row r="13" ht="15" customHeight="1" s="45">
      <c r="A13" s="47" t="inlineStr">
        <is>
          <t>EMEA</t>
        </is>
      </c>
      <c r="B13" s="50" t="inlineStr">
        <is>
          <t>Base</t>
        </is>
      </c>
      <c r="C13" s="66" t="n">
        <v>0.005</v>
      </c>
      <c r="D13" s="66" t="n">
        <v>0.01</v>
      </c>
      <c r="E13" s="66" t="n">
        <v>0.015</v>
      </c>
      <c r="F13" s="59" t="inlineStr">
        <is>
          <t>EMEA continues FY26 softness (down ~6% in Q4 FY26) before gradually stabilizing</t>
        </is>
      </c>
    </row>
    <row r="14" ht="15" customHeight="1" s="45">
      <c r="A14" s="47" t="inlineStr">
        <is>
          <t>EMEA</t>
        </is>
      </c>
      <c r="B14" s="50" t="inlineStr">
        <is>
          <t>Bear</t>
        </is>
      </c>
      <c r="C14" s="66" t="n">
        <v>-0.04</v>
      </c>
      <c r="D14" s="66" t="n">
        <v>-0.025</v>
      </c>
      <c r="E14" s="66" t="n">
        <v>-0.015</v>
      </c>
      <c r="F14" s="59" t="inlineStr">
        <is>
          <t>EMEA follows Greater China pattern of continued softness tied to macro/tariff drag</t>
        </is>
      </c>
    </row>
    <row r="15" ht="15" customHeight="1" s="45">
      <c r="A15" s="47" t="inlineStr">
        <is>
          <t>APLA</t>
        </is>
      </c>
      <c r="B15" s="50" t="inlineStr">
        <is>
          <t>Bull</t>
        </is>
      </c>
      <c r="C15" s="66" t="n">
        <v>0.05</v>
      </c>
      <c r="D15" s="66" t="n">
        <v>0.05</v>
      </c>
      <c r="E15" s="66" t="n">
        <v>0.05</v>
      </c>
      <c r="F15" s="59" t="inlineStr">
        <is>
          <t>APLA emerging market demand strengthens</t>
        </is>
      </c>
    </row>
    <row r="16" ht="15" customHeight="1" s="45">
      <c r="A16" s="47" t="inlineStr">
        <is>
          <t>APLA</t>
        </is>
      </c>
      <c r="B16" s="50" t="inlineStr">
        <is>
          <t>Base</t>
        </is>
      </c>
      <c r="C16" s="66" t="n">
        <v>0.015</v>
      </c>
      <c r="D16" s="66" t="n">
        <v>0.02</v>
      </c>
      <c r="E16" s="66" t="n">
        <v>0.025</v>
      </c>
      <c r="F16" s="59" t="inlineStr">
        <is>
          <t>APLA roughly flat in FY26 (~-1% Q4); modest steady recovery assumed</t>
        </is>
      </c>
    </row>
    <row r="17" ht="15" customHeight="1" s="45">
      <c r="A17" s="47" t="inlineStr">
        <is>
          <t>APLA</t>
        </is>
      </c>
      <c r="B17" s="50" t="inlineStr">
        <is>
          <t>Bear</t>
        </is>
      </c>
      <c r="C17" s="66" t="n">
        <v>-0.02</v>
      </c>
      <c r="D17" s="66" t="n">
        <v>-0.01</v>
      </c>
      <c r="E17" s="66" t="n">
        <v>0</v>
      </c>
      <c r="F17" s="59" t="inlineStr">
        <is>
          <t>APLA macro headwinds persist alongside broader Nike softness</t>
        </is>
      </c>
    </row>
    <row r="19" ht="39.75" customHeight="1" s="45">
      <c r="A19" s="64" t="inlineStr">
        <is>
          <t>Sources: NIKE FY2026 Q2-Q4 earnings releases and calls (investors.nike.com); CEO Elliott Hill public commentary (Financial Times, June 2026); RBC Capital Markets analyst notes (June 2026). Rates reflect management's own guidance language, not independent forecasting.</t>
        </is>
      </c>
    </row>
    <row r="20" ht="15" customHeight="1" s="45">
      <c r="A20" s="47" t="inlineStr">
        <is>
          <t>Gross margin headwind from tariffs, FY27 (bps)</t>
        </is>
      </c>
      <c r="C20" s="66" t="n">
        <v>-0.01</v>
      </c>
      <c r="D20" s="59" t="inlineStr">
        <is>
          <t>Base case: assumes gradual tariff relief per management commentary</t>
        </is>
      </c>
    </row>
    <row r="22" ht="17.25" customHeight="1" s="45">
      <c r="A22" s="46" t="inlineStr">
        <is>
          <t>Margin &amp; Working Capital Assumptions</t>
        </is>
      </c>
    </row>
    <row r="24" ht="15" customHeight="1" s="45">
      <c r="A24" s="57" t="inlineStr">
        <is>
          <t>Metric</t>
        </is>
      </c>
      <c r="B24" s="57" t="inlineStr">
        <is>
          <t>Scenario</t>
        </is>
      </c>
      <c r="C24" s="57" t="inlineStr">
        <is>
          <t>FY27E</t>
        </is>
      </c>
      <c r="D24" s="57" t="inlineStr">
        <is>
          <t>FY28E</t>
        </is>
      </c>
      <c r="E24" s="57" t="inlineStr">
        <is>
          <t>FY29E</t>
        </is>
      </c>
      <c r="F24" s="57" t="inlineStr">
        <is>
          <t>Rationale</t>
        </is>
      </c>
    </row>
    <row r="25" ht="15" customHeight="1" s="45">
      <c r="A25" s="47" t="inlineStr">
        <is>
          <t>Gross Margin %</t>
        </is>
      </c>
      <c r="B25" s="50" t="inlineStr">
        <is>
          <t>Bull</t>
        </is>
      </c>
      <c r="C25" s="66" t="n">
        <v>0.435</v>
      </c>
      <c r="D25" s="66" t="n">
        <v>0.443</v>
      </c>
      <c r="E25" s="66" t="n">
        <v>0.45</v>
      </c>
      <c r="F25" s="59" t="inlineStr">
        <is>
          <t>Tariff mitigation executes faster; mix improves ahead of plan</t>
        </is>
      </c>
    </row>
    <row r="26" ht="15" customHeight="1" s="45">
      <c r="A26" s="47" t="inlineStr">
        <is>
          <t>Gross Margin %</t>
        </is>
      </c>
      <c r="B26" s="50" t="inlineStr">
        <is>
          <t>Base</t>
        </is>
      </c>
      <c r="C26" s="66" t="n">
        <v>0.425</v>
      </c>
      <c r="D26" s="66" t="n">
        <v>0.43</v>
      </c>
      <c r="E26" s="66" t="n">
        <v>0.436</v>
      </c>
      <c r="F26" s="59" t="inlineStr">
        <is>
          <t>Gradual recovery from FY26A 42.9%, matching recent stabilization trend</t>
        </is>
      </c>
    </row>
    <row r="27" ht="15" customHeight="1" s="45">
      <c r="A27" s="47" t="inlineStr">
        <is>
          <t>Gross Margin %</t>
        </is>
      </c>
      <c r="B27" s="50" t="inlineStr">
        <is>
          <t>Bear</t>
        </is>
      </c>
      <c r="C27" s="66" t="n">
        <v>0.413</v>
      </c>
      <c r="D27" s="66" t="n">
        <v>0.408</v>
      </c>
      <c r="E27" s="66" t="n">
        <v>0.403</v>
      </c>
      <c r="F27" s="59" t="inlineStr">
        <is>
          <t>Continued tariff pressure + promotional activity to clear inventory amid China weakness</t>
        </is>
      </c>
    </row>
    <row r="28" ht="15" customHeight="1" s="45">
      <c r="A28" s="47" t="inlineStr">
        <is>
          <t>SG&amp;A % of Revenue</t>
        </is>
      </c>
      <c r="B28" s="50" t="inlineStr">
        <is>
          <t>Bull</t>
        </is>
      </c>
      <c r="C28" s="66" t="n">
        <v>0.34</v>
      </c>
      <c r="D28" s="66" t="n">
        <v>0.33</v>
      </c>
      <c r="E28" s="66" t="n">
        <v>0.32</v>
      </c>
      <c r="F28" s="59" t="inlineStr">
        <is>
          <t>Operating leverage as revenue grows faster than fixed costs</t>
        </is>
      </c>
    </row>
    <row r="29" ht="15" customHeight="1" s="45">
      <c r="A29" s="47" t="inlineStr">
        <is>
          <t>SG&amp;A % of Revenue</t>
        </is>
      </c>
      <c r="B29" s="50" t="inlineStr">
        <is>
          <t>Base</t>
        </is>
      </c>
      <c r="C29" s="66" t="n">
        <v>0.345</v>
      </c>
      <c r="D29" s="66" t="n">
        <v>0.34</v>
      </c>
      <c r="E29" s="66" t="n">
        <v>0.335</v>
      </c>
      <c r="F29" s="59" t="inlineStr">
        <is>
          <t>Modest leverage improvement from FY26A 34.7%</t>
        </is>
      </c>
    </row>
    <row r="30" ht="15" customHeight="1" s="45">
      <c r="A30" s="47" t="inlineStr">
        <is>
          <t>SG&amp;A % of Revenue</t>
        </is>
      </c>
      <c r="B30" s="50" t="inlineStr">
        <is>
          <t>Bear</t>
        </is>
      </c>
      <c r="C30" s="66" t="n">
        <v>0.355</v>
      </c>
      <c r="D30" s="66" t="n">
        <v>0.36</v>
      </c>
      <c r="E30" s="66" t="n">
        <v>0.365</v>
      </c>
      <c r="F30" s="59" t="inlineStr">
        <is>
          <t>Deleverage as revenue stalls and fixed costs go unabsorbed</t>
        </is>
      </c>
    </row>
    <row r="31" ht="15" customHeight="1" s="45">
      <c r="A31" s="47" t="inlineStr">
        <is>
          <t>Inventory Days</t>
        </is>
      </c>
      <c r="B31" s="50" t="inlineStr">
        <is>
          <t>Bull</t>
        </is>
      </c>
      <c r="C31" s="67" t="n">
        <v>98</v>
      </c>
      <c r="D31" s="67" t="n">
        <v>95</v>
      </c>
      <c r="E31" s="67" t="n">
        <v>92</v>
      </c>
      <c r="F31" s="59" t="inlineStr">
        <is>
          <t>Better inventory turnover as demand planning improves</t>
        </is>
      </c>
    </row>
    <row r="32" ht="15" customHeight="1" s="45">
      <c r="A32" s="47" t="inlineStr">
        <is>
          <t>Inventory Days</t>
        </is>
      </c>
      <c r="B32" s="50" t="inlineStr">
        <is>
          <t>Base</t>
        </is>
      </c>
      <c r="C32" s="67" t="n">
        <v>103</v>
      </c>
      <c r="D32" s="67" t="n">
        <v>102</v>
      </c>
      <c r="E32" s="67" t="n">
        <v>101</v>
      </c>
      <c r="F32" s="59" t="inlineStr">
        <is>
          <t>Holds near FY26A normalized level of 103.4 days</t>
        </is>
      </c>
    </row>
    <row r="33" ht="15" customHeight="1" s="45">
      <c r="A33" s="47" t="inlineStr">
        <is>
          <t>Inventory Days</t>
        </is>
      </c>
      <c r="B33" s="50" t="inlineStr">
        <is>
          <t>Bear</t>
        </is>
      </c>
      <c r="C33" s="67" t="n">
        <v>108</v>
      </c>
      <c r="D33" s="67" t="n">
        <v>112</v>
      </c>
      <c r="E33" s="67" t="n">
        <v>116</v>
      </c>
      <c r="F33" s="59" t="inlineStr">
        <is>
          <t>Inventory mismatch amid weak Greater China sell-through</t>
        </is>
      </c>
    </row>
    <row r="34" ht="15" customHeight="1" s="45">
      <c r="A34" s="47" t="inlineStr">
        <is>
          <t>AR Days</t>
        </is>
      </c>
      <c r="B34" s="50" t="inlineStr">
        <is>
          <t>Bull</t>
        </is>
      </c>
      <c r="C34" s="67" t="n">
        <v>45</v>
      </c>
      <c r="D34" s="67" t="n">
        <v>44</v>
      </c>
      <c r="E34" s="67" t="n">
        <v>43</v>
      </c>
      <c r="F34" s="59" t="inlineStr">
        <is>
          <t>Better collections despite wholesale mix growth</t>
        </is>
      </c>
    </row>
    <row r="35" ht="15" customHeight="1" s="45">
      <c r="A35" s="47" t="inlineStr">
        <is>
          <t>AR Days</t>
        </is>
      </c>
      <c r="B35" s="50" t="inlineStr">
        <is>
          <t>Base</t>
        </is>
      </c>
      <c r="C35" s="67" t="n">
        <v>47</v>
      </c>
      <c r="D35" s="67" t="n">
        <v>47</v>
      </c>
      <c r="E35" s="67" t="n">
        <v>48</v>
      </c>
      <c r="F35" s="59" t="inlineStr">
        <is>
          <t>Continues FY26A trend (46.7 days) as wholesale mix grows</t>
        </is>
      </c>
    </row>
    <row r="36" ht="15" customHeight="1" s="45">
      <c r="A36" s="47" t="inlineStr">
        <is>
          <t>AR Days</t>
        </is>
      </c>
      <c r="B36" s="50" t="inlineStr">
        <is>
          <t>Bear</t>
        </is>
      </c>
      <c r="C36" s="67" t="n">
        <v>49</v>
      </c>
      <c r="D36" s="67" t="n">
        <v>51</v>
      </c>
      <c r="E36" s="67" t="n">
        <v>53</v>
      </c>
      <c r="F36" s="59" t="inlineStr">
        <is>
          <t>Wholesale partners stretch payment terms amid soft demand</t>
        </is>
      </c>
    </row>
    <row r="37" ht="15" customHeight="1" s="45">
      <c r="A37" s="47" t="inlineStr">
        <is>
          <t>AP Days</t>
        </is>
      </c>
      <c r="B37" s="50" t="inlineStr">
        <is>
          <t>Bull</t>
        </is>
      </c>
      <c r="C37" s="67" t="n">
        <v>52</v>
      </c>
      <c r="D37" s="67" t="n">
        <v>54</v>
      </c>
      <c r="E37" s="67" t="n">
        <v>56</v>
      </c>
      <c r="F37" s="59" t="inlineStr">
        <is>
          <t>Nike negotiates more favorable supplier payment terms</t>
        </is>
      </c>
    </row>
    <row r="38" ht="15" customHeight="1" s="45">
      <c r="A38" s="47" t="inlineStr">
        <is>
          <t>AP Days</t>
        </is>
      </c>
      <c r="B38" s="50" t="inlineStr">
        <is>
          <t>Base</t>
        </is>
      </c>
      <c r="C38" s="67" t="n">
        <v>50</v>
      </c>
      <c r="D38" s="67" t="n">
        <v>50</v>
      </c>
      <c r="E38" s="67" t="n">
        <v>50</v>
      </c>
      <c r="F38" s="59" t="inlineStr">
        <is>
          <t>Holds near FY26A level of 49.6 days</t>
        </is>
      </c>
    </row>
    <row r="39" ht="15" customHeight="1" s="45">
      <c r="A39" s="47" t="inlineStr">
        <is>
          <t>AP Days</t>
        </is>
      </c>
      <c r="B39" s="50" t="inlineStr">
        <is>
          <t>Bear</t>
        </is>
      </c>
      <c r="C39" s="67" t="n">
        <v>47</v>
      </c>
      <c r="D39" s="67" t="n">
        <v>45</v>
      </c>
      <c r="E39" s="67" t="n">
        <v>43</v>
      </c>
      <c r="F39" s="59" t="inlineStr">
        <is>
          <t>Suppliers tighten terms amid tariff-related cost disputes</t>
        </is>
      </c>
    </row>
    <row r="41" ht="15" customHeight="1" s="45">
      <c r="A41" s="47" t="inlineStr">
        <is>
          <t>Tax Rate (all scenarios)</t>
        </is>
      </c>
      <c r="C41" s="66" t="n">
        <v>0.21</v>
      </c>
      <c r="D41" s="66" t="n">
        <v>0.21</v>
      </c>
      <c r="E41" s="66" t="n">
        <v>0.21</v>
      </c>
      <c r="F41" s="59" t="inlineStr">
        <is>
          <t>Near FY26A effective rate of 20.3%; held flat as a simplifying assumption</t>
        </is>
      </c>
    </row>
    <row r="42" ht="15" customHeight="1" s="45">
      <c r="A42" s="47" t="inlineStr">
        <is>
          <t>CapEx % of Revenue (all scenarios)</t>
        </is>
      </c>
      <c r="C42" s="66" t="n">
        <v>0.015</v>
      </c>
      <c r="D42" s="66" t="n">
        <v>0.015</v>
      </c>
      <c r="E42" s="66" t="n">
        <v>0.015</v>
      </c>
      <c r="F42" s="59" t="inlineStr">
        <is>
          <t>Matches 3-year historical average (~1.5% of revenue)</t>
        </is>
      </c>
    </row>
    <row r="44" ht="15" customHeight="1" s="45">
      <c r="A44" s="47" t="inlineStr">
        <is>
          <t>Interest Rate on Debt (all scenarios)</t>
        </is>
      </c>
      <c r="C44" s="66" t="n">
        <v>0.05</v>
      </c>
      <c r="D44" s="66" t="n">
        <v>0.05</v>
      </c>
      <c r="E44" s="66" t="n">
        <v>0.05</v>
      </c>
      <c r="F44" s="59" t="inlineStr">
        <is>
          <t>Estimated blended cost of debt; not separately disclosed by Nike, held flat as a simplifying assumption</t>
        </is>
      </c>
    </row>
    <row r="45" ht="15" customHeight="1" s="45">
      <c r="A45" s="47" t="inlineStr">
        <is>
          <t>Depreciation Rate, % of prior PP&amp;E (all scenarios)</t>
        </is>
      </c>
      <c r="C45" s="66" t="n">
        <v>0.12</v>
      </c>
      <c r="D45" s="66" t="n">
        <v>0.12</v>
      </c>
      <c r="E45" s="66" t="n">
        <v>0.12</v>
      </c>
      <c r="F45" s="59" t="inlineStr">
        <is>
          <t>Approximates an 8-year useful life; simplifying assumption in place of full PP&amp;E schedule</t>
        </is>
      </c>
    </row>
    <row r="46" ht="15" customHeight="1" s="45">
      <c r="A46" s="47" t="inlineStr">
        <is>
          <t>Dividend Growth Rate (all scenarios)</t>
        </is>
      </c>
      <c r="C46" s="66" t="n">
        <v>0.03</v>
      </c>
      <c r="D46" s="66" t="n">
        <v>0.03</v>
      </c>
      <c r="E46" s="66" t="n">
        <v>0.03</v>
      </c>
      <c r="F46" s="59" t="inlineStr">
        <is>
          <t>Nike has a long history of steady dividend growth even through downturns; held flat across scenarios</t>
        </is>
      </c>
    </row>
    <row r="48" ht="15" customHeight="1" s="45">
      <c r="A48" s="47" t="inlineStr">
        <is>
          <t>Diluted Shares Outstanding (millions, held flat)</t>
        </is>
      </c>
      <c r="C48" s="68">
        <f>Historicals!$D$22/Historicals!$D$23</f>
        <v/>
      </c>
      <c r="D48" s="68">
        <f>Historicals!$D$22/Historicals!$D$23</f>
        <v/>
      </c>
      <c r="E48" s="68">
        <f>Historicals!$D$22/Historicals!$D$23</f>
        <v/>
      </c>
      <c r="F48" s="59" t="inlineStr">
        <is>
          <t>Derived from FY26A Net Income / Diluted EPS; no buybacks modeled going forward</t>
        </is>
      </c>
    </row>
    <row r="50" ht="15" customHeight="1" s="45">
      <c r="A50" s="47" t="inlineStr">
        <is>
          <t>Converse Revenue Growth Rate (all scenarios)</t>
        </is>
      </c>
      <c r="C50" s="66" t="n">
        <v>-0.03</v>
      </c>
      <c r="D50" s="66" t="n">
        <v>-0.01</v>
      </c>
      <c r="E50" s="66" t="n">
        <v>0.01</v>
      </c>
      <c r="F50" s="59" t="inlineStr">
        <is>
          <t>Simplified assumption: continued stabilization after FY26A -31% decline; not scenario-dependent per model scope</t>
        </is>
      </c>
    </row>
  </sheetData>
  <mergeCells count="2">
    <mergeCell ref="A19:F19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4" min="1" max="1"/>
    <col width="14" customWidth="1" style="44" min="2" max="5"/>
  </cols>
  <sheetData>
    <row r="1" ht="17.25" customHeight="1" s="45">
      <c r="A1" s="46" t="inlineStr">
        <is>
          <t>Segment Revenue Build — FY2027E-FY2029E</t>
        </is>
      </c>
    </row>
    <row r="2" ht="15" customHeight="1" s="45">
      <c r="A2" s="47" t="inlineStr">
        <is>
          <t>Scenario active:</t>
        </is>
      </c>
      <c r="B2" s="69">
        <f>Assumptions!C3</f>
        <v/>
      </c>
    </row>
    <row r="3" ht="15" customHeight="1" s="45">
      <c r="A3" s="56" t="inlineStr">
        <is>
          <t>$ in millions</t>
        </is>
      </c>
    </row>
    <row r="4" ht="15" customHeight="1" s="45">
      <c r="A4" s="57" t="inlineStr">
        <is>
          <t>Segment</t>
        </is>
      </c>
      <c r="B4" s="57" t="inlineStr">
        <is>
          <t>FY2026A</t>
        </is>
      </c>
      <c r="C4" s="57" t="inlineStr">
        <is>
          <t>FY2027E</t>
        </is>
      </c>
      <c r="D4" s="57" t="inlineStr">
        <is>
          <t>FY2028E</t>
        </is>
      </c>
      <c r="E4" s="57" t="inlineStr">
        <is>
          <t>FY2029E</t>
        </is>
      </c>
    </row>
    <row r="5" ht="15" customHeight="1" s="45">
      <c r="A5" s="47" t="inlineStr">
        <is>
          <t>North America</t>
        </is>
      </c>
      <c r="B5" s="70">
        <f>Historicals!D5</f>
        <v/>
      </c>
      <c r="C5" s="71">
        <f>B5*(1+SUMIFS(Assumptions!$C$6:$C$17,Assumptions!$A$6:$A$17,$A5,Assumptions!$B$6:$B$17,$B$2))</f>
        <v/>
      </c>
      <c r="D5" s="71">
        <f>C5*(1+SUMIFS(Assumptions!$D$6:$D$17,Assumptions!$A$6:$A$17,$A5,Assumptions!$B$6:$B$17,$B$2))</f>
        <v/>
      </c>
      <c r="E5" s="71">
        <f>D5*(1+SUMIFS(Assumptions!$E$6:$E$17,Assumptions!$A$6:$A$17,$A5,Assumptions!$B$6:$B$17,$B$2))</f>
        <v/>
      </c>
    </row>
    <row r="6" ht="15" customHeight="1" s="45">
      <c r="A6" s="47" t="inlineStr">
        <is>
          <t>EMEA</t>
        </is>
      </c>
      <c r="B6" s="70">
        <f>Historicals!D6</f>
        <v/>
      </c>
      <c r="C6" s="71">
        <f>B6*(1+SUMIFS(Assumptions!$C$6:$C$17,Assumptions!$A$6:$A$17,$A6,Assumptions!$B$6:$B$17,$B$2))</f>
        <v/>
      </c>
      <c r="D6" s="71">
        <f>C6*(1+SUMIFS(Assumptions!$D$6:$D$17,Assumptions!$A$6:$A$17,$A6,Assumptions!$B$6:$B$17,$B$2))</f>
        <v/>
      </c>
      <c r="E6" s="71">
        <f>D6*(1+SUMIFS(Assumptions!$E$6:$E$17,Assumptions!$A$6:$A$17,$A6,Assumptions!$B$6:$B$17,$B$2))</f>
        <v/>
      </c>
    </row>
    <row r="7" ht="15" customHeight="1" s="45">
      <c r="A7" s="47" t="inlineStr">
        <is>
          <t>Greater China</t>
        </is>
      </c>
      <c r="B7" s="70">
        <f>Historicals!D7</f>
        <v/>
      </c>
      <c r="C7" s="71">
        <f>B7*(1+SUMIFS(Assumptions!$C$6:$C$17,Assumptions!$A$6:$A$17,$A7,Assumptions!$B$6:$B$17,$B$2))</f>
        <v/>
      </c>
      <c r="D7" s="71">
        <f>C7*(1+SUMIFS(Assumptions!$D$6:$D$17,Assumptions!$A$6:$A$17,$A7,Assumptions!$B$6:$B$17,$B$2))</f>
        <v/>
      </c>
      <c r="E7" s="71">
        <f>D7*(1+SUMIFS(Assumptions!$E$6:$E$17,Assumptions!$A$6:$A$17,$A7,Assumptions!$B$6:$B$17,$B$2))</f>
        <v/>
      </c>
    </row>
    <row r="8" ht="15" customHeight="1" s="45">
      <c r="A8" s="47" t="inlineStr">
        <is>
          <t>APLA</t>
        </is>
      </c>
      <c r="B8" s="70">
        <f>Historicals!D8</f>
        <v/>
      </c>
      <c r="C8" s="71">
        <f>B8*(1+SUMIFS(Assumptions!$C$6:$C$17,Assumptions!$A$6:$A$17,$A8,Assumptions!$B$6:$B$17,$B$2))</f>
        <v/>
      </c>
      <c r="D8" s="71">
        <f>C8*(1+SUMIFS(Assumptions!$D$6:$D$17,Assumptions!$A$6:$A$17,$A8,Assumptions!$B$6:$B$17,$B$2))</f>
        <v/>
      </c>
      <c r="E8" s="71">
        <f>D8*(1+SUMIFS(Assumptions!$E$6:$E$17,Assumptions!$A$6:$A$17,$A8,Assumptions!$B$6:$B$17,$B$2))</f>
        <v/>
      </c>
    </row>
    <row r="9" ht="15" customHeight="1" s="45">
      <c r="A9" s="47" t="inlineStr">
        <is>
          <t>Total NIKE Brand Revenue</t>
        </is>
      </c>
      <c r="B9" s="71">
        <f>SUM(B5:B8)</f>
        <v/>
      </c>
      <c r="C9" s="71">
        <f>SUM(C5:C8)</f>
        <v/>
      </c>
      <c r="D9" s="71">
        <f>SUM(D5:D8)</f>
        <v/>
      </c>
      <c r="E9" s="71">
        <f>SUM(E5:E8)</f>
        <v/>
      </c>
    </row>
    <row r="11" ht="15" customHeight="1" s="45">
      <c r="A11" s="50" t="inlineStr">
        <is>
          <t>Converse</t>
        </is>
      </c>
      <c r="B11" s="72">
        <f>Historicals!D9</f>
        <v/>
      </c>
      <c r="C11" s="60">
        <f>B11*(1+Assumptions!$C$50)</f>
        <v/>
      </c>
      <c r="D11" s="60">
        <f>C11*(1+Assumptions!$D$50)</f>
        <v/>
      </c>
      <c r="E11" s="60">
        <f>D11*(1+Assumptions!$E$50)</f>
        <v/>
      </c>
    </row>
    <row r="12" ht="15" customHeight="1" s="45">
      <c r="A12" s="50" t="inlineStr">
        <is>
          <t>Other (Global Brand Div. &amp; Corporate)</t>
        </is>
      </c>
      <c r="B12" s="72">
        <f>Historicals!$D$10</f>
        <v/>
      </c>
      <c r="C12" s="72">
        <f>Historicals!$D$10</f>
        <v/>
      </c>
      <c r="D12" s="72">
        <f>Historicals!$D$10</f>
        <v/>
      </c>
      <c r="E12" s="72">
        <f>Historicals!$D$10</f>
        <v/>
      </c>
      <c r="F12" s="59" t="inlineStr">
        <is>
          <t>Held flat; immaterial (~0.1% of total revenue)</t>
        </is>
      </c>
    </row>
    <row r="13" ht="15" customHeight="1" s="45">
      <c r="A13" s="47" t="inlineStr">
        <is>
          <t>Total Consolidated Revenue</t>
        </is>
      </c>
      <c r="B13" s="73">
        <f>B9+B11+B12</f>
        <v/>
      </c>
      <c r="C13" s="73">
        <f>C9+C11+C12</f>
        <v/>
      </c>
      <c r="D13" s="73">
        <f>D9+D11+D12</f>
        <v/>
      </c>
      <c r="E13" s="73">
        <f>E9+E11+E12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16" customWidth="1" style="44" min="2" max="5"/>
    <col width="55" customWidth="1" style="45" min="3" max="3"/>
  </cols>
  <sheetData>
    <row r="1" ht="17.25" customHeight="1" s="45">
      <c r="A1" s="46" t="inlineStr">
        <is>
          <t>Margin Bridge — FY2027E-FY2029E</t>
        </is>
      </c>
    </row>
    <row r="2" ht="15" customHeight="1" s="45">
      <c r="A2" s="47" t="inlineStr">
        <is>
          <t>Scenario active:</t>
        </is>
      </c>
      <c r="B2" s="69">
        <f>Assumptions!C3</f>
        <v/>
      </c>
    </row>
    <row r="3" ht="15" customHeight="1" s="45">
      <c r="A3" s="56" t="inlineStr">
        <is>
          <t>$ in millions, except per-share data and percentages</t>
        </is>
      </c>
    </row>
    <row r="4" ht="15" customHeight="1" s="45">
      <c r="A4" s="57" t="inlineStr">
        <is>
          <t>Line Item</t>
        </is>
      </c>
      <c r="B4" s="57" t="inlineStr">
        <is>
          <t>FY2026A</t>
        </is>
      </c>
      <c r="C4" s="57" t="inlineStr">
        <is>
          <t>FY2027E</t>
        </is>
      </c>
      <c r="D4" s="57" t="inlineStr">
        <is>
          <t>FY2028E</t>
        </is>
      </c>
      <c r="E4" s="57" t="inlineStr">
        <is>
          <t>FY2029E</t>
        </is>
      </c>
    </row>
    <row r="5" ht="15" customHeight="1" s="45">
      <c r="A5" s="47" t="inlineStr">
        <is>
          <t>Total Revenue</t>
        </is>
      </c>
      <c r="B5" s="72">
        <f>'Segment Revenue Build'!B13</f>
        <v/>
      </c>
      <c r="C5" s="72">
        <f>'Segment Revenue Build'!C13</f>
        <v/>
      </c>
      <c r="D5" s="72">
        <f>'Segment Revenue Build'!D13</f>
        <v/>
      </c>
      <c r="E5" s="72">
        <f>'Segment Revenue Build'!E13</f>
        <v/>
      </c>
    </row>
    <row r="7" ht="15" customHeight="1" s="45">
      <c r="A7" s="47" t="inlineStr">
        <is>
          <t>Gross Margin %</t>
        </is>
      </c>
      <c r="B7" s="74">
        <f>Historicals!D25</f>
        <v/>
      </c>
      <c r="C7" s="62">
        <f>SUMIFS(Assumptions!$C$25:$C$39,Assumptions!$A$25:$A$39,"Gross Margin %",Assumptions!$B$25:$B$39,$B$2)</f>
        <v/>
      </c>
      <c r="D7" s="62">
        <f>SUMIFS(Assumptions!$D$25:$D$39,Assumptions!$A$25:$A$39,"Gross Margin %",Assumptions!$B$25:$B$39,$B$2)</f>
        <v/>
      </c>
      <c r="E7" s="62">
        <f>SUMIFS(Assumptions!$E$25:$E$39,Assumptions!$A$25:$A$39,"Gross Margin %",Assumptions!$B$25:$B$39,$B$2)</f>
        <v/>
      </c>
    </row>
    <row r="8" ht="15" customHeight="1" s="45">
      <c r="A8" s="47" t="inlineStr">
        <is>
          <t>Gross Profit</t>
        </is>
      </c>
      <c r="B8" s="60">
        <f>B5*B7</f>
        <v/>
      </c>
      <c r="C8" s="60">
        <f>C5*C7</f>
        <v/>
      </c>
      <c r="D8" s="60">
        <f>D5*D7</f>
        <v/>
      </c>
      <c r="E8" s="60">
        <f>E5*E7</f>
        <v/>
      </c>
    </row>
    <row r="9" ht="15" customHeight="1" s="45">
      <c r="A9" s="47" t="inlineStr">
        <is>
          <t>COGS</t>
        </is>
      </c>
      <c r="B9" s="60">
        <f>B5-B8</f>
        <v/>
      </c>
      <c r="C9" s="60">
        <f>C5-C8</f>
        <v/>
      </c>
      <c r="D9" s="60">
        <f>D5-D8</f>
        <v/>
      </c>
      <c r="E9" s="60">
        <f>E5-E8</f>
        <v/>
      </c>
    </row>
    <row r="11" ht="15" customHeight="1" s="45">
      <c r="A11" s="47" t="inlineStr">
        <is>
          <t>SG&amp;A % of Revenue</t>
        </is>
      </c>
      <c r="B11" s="74">
        <f>Historicals!D18/Historicals!D15</f>
        <v/>
      </c>
      <c r="C11" s="62">
        <f>SUMIFS(Assumptions!$C$25:$C$39,Assumptions!$A$25:$A$39,"SG&amp;A % of Revenue",Assumptions!$B$25:$B$39,$B$2)</f>
        <v/>
      </c>
      <c r="D11" s="62">
        <f>SUMIFS(Assumptions!$D$25:$D$39,Assumptions!$A$25:$A$39,"SG&amp;A % of Revenue",Assumptions!$B$25:$B$39,$B$2)</f>
        <v/>
      </c>
      <c r="E11" s="62">
        <f>SUMIFS(Assumptions!$E$25:$E$39,Assumptions!$A$25:$A$39,"SG&amp;A % of Revenue",Assumptions!$B$25:$B$39,$B$2)</f>
        <v/>
      </c>
    </row>
    <row r="12" ht="15" customHeight="1" s="45">
      <c r="A12" s="47" t="inlineStr">
        <is>
          <t>SG&amp;A ($)</t>
        </is>
      </c>
      <c r="B12" s="60">
        <f>B5*B11</f>
        <v/>
      </c>
      <c r="C12" s="60">
        <f>C5*C11</f>
        <v/>
      </c>
      <c r="D12" s="60">
        <f>D5*D11</f>
        <v/>
      </c>
      <c r="E12" s="60">
        <f>E5*E11</f>
        <v/>
      </c>
    </row>
    <row r="14" ht="15" customHeight="1" s="45">
      <c r="A14" s="47" t="inlineStr">
        <is>
          <t>Operating Income</t>
        </is>
      </c>
      <c r="B14" s="60">
        <f>B8-B12</f>
        <v/>
      </c>
      <c r="C14" s="60">
        <f>C8-C12</f>
        <v/>
      </c>
      <c r="D14" s="60">
        <f>D8-D12</f>
        <v/>
      </c>
      <c r="E14" s="60">
        <f>E8-E12</f>
        <v/>
      </c>
    </row>
    <row r="15" ht="15" customHeight="1" s="45">
      <c r="A15" s="47" t="inlineStr">
        <is>
          <t>Operating Margin %</t>
        </is>
      </c>
      <c r="B15" s="62">
        <f>B14/B5</f>
        <v/>
      </c>
      <c r="C15" s="62">
        <f>C14/C5</f>
        <v/>
      </c>
      <c r="D15" s="62">
        <f>D14/D5</f>
        <v/>
      </c>
      <c r="E15" s="62">
        <f>E14/E5</f>
        <v/>
      </c>
    </row>
    <row r="16" ht="15" customHeight="1" s="45">
      <c r="A16" s="47" t="inlineStr">
        <is>
          <t>Total Debt (Current + Long-Term, held flat)</t>
        </is>
      </c>
      <c r="B16" s="72">
        <f>Historicals!$D$43+Historicals!$D$46</f>
        <v/>
      </c>
      <c r="C16" s="72">
        <f>Historicals!$D$43+Historicals!$D$46</f>
        <v/>
      </c>
      <c r="D16" s="72">
        <f>Historicals!$D$43+Historicals!$D$46</f>
        <v/>
      </c>
      <c r="E16" s="72">
        <f>Historicals!$D$43+Historicals!$D$46</f>
        <v/>
      </c>
    </row>
    <row r="17" ht="15" customHeight="1" s="45">
      <c r="A17" s="47" t="inlineStr">
        <is>
          <t>Interest Expense</t>
        </is>
      </c>
      <c r="B17" s="60">
        <f>B16*Assumptions!$C$44</f>
        <v/>
      </c>
      <c r="C17" s="60">
        <f>C16*Assumptions!$C$44</f>
        <v/>
      </c>
      <c r="D17" s="60">
        <f>D16*Assumptions!$C$44</f>
        <v/>
      </c>
      <c r="E17" s="60">
        <f>E16*Assumptions!$C$44</f>
        <v/>
      </c>
    </row>
    <row r="18" ht="15" customHeight="1" s="45">
      <c r="A18" s="47" t="inlineStr">
        <is>
          <t>Pretax Income</t>
        </is>
      </c>
      <c r="B18" s="72">
        <f>Historicals!D20</f>
        <v/>
      </c>
      <c r="C18" s="60">
        <f>C14-C17</f>
        <v/>
      </c>
      <c r="D18" s="60">
        <f>D14-D17</f>
        <v/>
      </c>
      <c r="E18" s="60">
        <f>E14-E17</f>
        <v/>
      </c>
    </row>
    <row r="19" ht="15" customHeight="1" s="45">
      <c r="A19" s="47" t="inlineStr">
        <is>
          <t>Income Tax Expense</t>
        </is>
      </c>
      <c r="B19" s="72">
        <f>Historicals!D21</f>
        <v/>
      </c>
      <c r="C19" s="60">
        <f>C18*SUMIFS(Assumptions!$C$41:$C$41,Assumptions!$A$41:$A$41,"Tax Rate (all scenarios)")</f>
        <v/>
      </c>
      <c r="D19" s="60">
        <f>D18*SUMIFS(Assumptions!$C$41:$C$41,Assumptions!$A$41:$A$41,"Tax Rate (all scenarios)")</f>
        <v/>
      </c>
      <c r="E19" s="60">
        <f>E18*SUMIFS(Assumptions!$C$41:$C$41,Assumptions!$A$41:$A$41,"Tax Rate (all scenarios)")</f>
        <v/>
      </c>
    </row>
    <row r="20" ht="15" customHeight="1" s="45">
      <c r="A20" s="47" t="inlineStr">
        <is>
          <t>Net Income</t>
        </is>
      </c>
      <c r="B20" s="72">
        <f>Historicals!D22</f>
        <v/>
      </c>
      <c r="C20" s="60">
        <f>C18-C19</f>
        <v/>
      </c>
      <c r="D20" s="60">
        <f>D18-D19</f>
        <v/>
      </c>
      <c r="E20" s="60">
        <f>E18-E19</f>
        <v/>
      </c>
    </row>
    <row r="21" ht="15" customHeight="1" s="45">
      <c r="A21" s="47" t="inlineStr">
        <is>
          <t>Net Margin %</t>
        </is>
      </c>
      <c r="B21" s="62">
        <f>B20/B5</f>
        <v/>
      </c>
      <c r="C21" s="62">
        <f>C20/C5</f>
        <v/>
      </c>
      <c r="D21" s="62">
        <f>D20/D5</f>
        <v/>
      </c>
      <c r="E21" s="62">
        <f>E20/E5</f>
        <v/>
      </c>
    </row>
    <row r="22" ht="15" customHeight="1" s="45">
      <c r="A22" s="47" t="inlineStr">
        <is>
          <t>Diluted EPS ($)</t>
        </is>
      </c>
      <c r="B22" s="75">
        <f>B20/Assumptions!$C$48</f>
        <v/>
      </c>
      <c r="C22" s="75">
        <f>C20/Assumptions!$C$48</f>
        <v/>
      </c>
      <c r="D22" s="75">
        <f>D20/Assumptions!$C$48</f>
        <v/>
      </c>
      <c r="E22" s="75">
        <f>E20/Assumptions!$C$48</f>
        <v/>
      </c>
    </row>
    <row r="23" ht="15" customHeight="1" s="45"/>
    <row r="24" ht="15" customHeight="1" s="45"/>
    <row r="26" ht="39.75" customHeight="1" s="45">
      <c r="A26" s="44" t="n"/>
    </row>
    <row r="27" ht="15" customHeight="1" s="45">
      <c r="A27" s="47" t="inlineStr">
        <is>
          <t>Gross Margin Bridge (Base Case): FY2026A → FY2029E</t>
        </is>
      </c>
    </row>
    <row r="28" ht="30" customHeight="1" s="45">
      <c r="A28" s="57" t="inlineStr">
        <is>
          <t>Component</t>
        </is>
      </c>
      <c r="B28" s="57" t="inlineStr">
        <is>
          <t>Impact (bps)</t>
        </is>
      </c>
      <c r="C28" s="76" t="inlineStr">
        <is>
          <t>Note</t>
        </is>
      </c>
    </row>
    <row r="29" ht="30" customHeight="1" s="45">
      <c r="A29" s="47" t="inlineStr">
        <is>
          <t>Starting Gross Margin, FY2026A</t>
        </is>
      </c>
      <c r="B29" s="47" t="inlineStr">
        <is>
          <t>42.9%</t>
        </is>
      </c>
      <c r="C29" s="77" t="inlineStr">
        <is>
          <t>Actual, from Historicals</t>
        </is>
      </c>
    </row>
    <row r="30" ht="30" customHeight="1" s="45">
      <c r="A30" s="50" t="inlineStr">
        <is>
          <t>Tariff and sourcing cost pressure</t>
        </is>
      </c>
      <c r="B30" s="50" t="inlineStr">
        <is>
          <t>(40 bps)</t>
        </is>
      </c>
      <c r="C30" s="77" t="inlineStr">
        <is>
          <t>Ongoing tariff impact before mitigation</t>
        </is>
      </c>
    </row>
    <row r="31" ht="30" customHeight="1" s="45">
      <c r="A31" s="50" t="inlineStr">
        <is>
          <t>Tariff mitigation and pricing actions</t>
        </is>
      </c>
      <c r="B31" s="50" t="inlineStr">
        <is>
          <t>+50 bps</t>
        </is>
      </c>
      <c r="C31" s="77" t="inlineStr">
        <is>
          <t>Partial cost pass-through and sourcing shifts through FY29</t>
        </is>
      </c>
    </row>
    <row r="32" ht="30" customHeight="1" s="45">
      <c r="A32" s="50" t="inlineStr">
        <is>
          <t>Inventory normalization, lower markdowns</t>
        </is>
      </c>
      <c r="B32" s="50" t="inlineStr">
        <is>
          <t>+35 bps</t>
        </is>
      </c>
      <c r="C32" s="77" t="inlineStr">
        <is>
          <t>Less promotional activity as inventory levels normalize</t>
        </is>
      </c>
    </row>
    <row r="33" ht="30" customHeight="1" s="45">
      <c r="A33" s="50" t="inlineStr">
        <is>
          <t>Geographic and product mix</t>
        </is>
      </c>
      <c r="B33" s="50" t="inlineStr">
        <is>
          <t>+30 bps</t>
        </is>
      </c>
      <c r="C33" s="77" t="inlineStr">
        <is>
          <t>Higher-margin North America mix grows as % of total</t>
        </is>
      </c>
    </row>
    <row r="34" ht="30" customHeight="1" s="45">
      <c r="A34" s="50" t="inlineStr">
        <is>
          <t>Other pressures</t>
        </is>
      </c>
      <c r="B34" s="50" t="inlineStr">
        <is>
          <t>(5 bps)</t>
        </is>
      </c>
      <c r="C34" s="77" t="inlineStr">
        <is>
          <t>Freight, FX, and other unallocated items</t>
        </is>
      </c>
    </row>
    <row r="35" ht="34" customHeight="1" s="45">
      <c r="A35" s="55" t="inlineStr">
        <is>
          <t>Ending Gross Margin, FY2029E (Base)</t>
        </is>
      </c>
      <c r="B35" s="47" t="inlineStr">
        <is>
          <t>43.6%</t>
        </is>
      </c>
      <c r="C35" s="77" t="inlineStr">
        <is>
          <t>Matches Base case assumption on Assumptions tab; net change = +70 bps, reconciles exactly</t>
        </is>
      </c>
    </row>
    <row r="37" ht="39.75" customHeight="1" s="45">
      <c r="A37" s="64" t="inlineStr">
        <is>
          <t>Note: components above are this model's estimated allocation of the FY26A-to-FY29E margin change, not figures independently disclosed by Nike. The allocation is illustrative but the basis points now reconcile exactly to the Base case's modeled margin change (42.9% + 70 bps = 43.6%).</t>
        </is>
      </c>
    </row>
  </sheetData>
  <mergeCells count="3">
    <mergeCell ref="A37:C37"/>
    <mergeCell ref="A1:E1"/>
    <mergeCell ref="A26:E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4" customWidth="1" style="44" min="2" max="5"/>
  </cols>
  <sheetData>
    <row r="1" ht="17.25" customHeight="1" s="45">
      <c r="A1" s="46" t="inlineStr">
        <is>
          <t>Balance Sheet — FY2026A-FY2029E</t>
        </is>
      </c>
    </row>
    <row r="2" ht="15" customHeight="1" s="45">
      <c r="A2" s="47" t="inlineStr">
        <is>
          <t>Scenario active:</t>
        </is>
      </c>
      <c r="B2" s="69">
        <f>Assumptions!C3</f>
        <v/>
      </c>
    </row>
    <row r="3" ht="15" customHeight="1" s="45">
      <c r="A3" s="56" t="inlineStr">
        <is>
          <t>$ in millions</t>
        </is>
      </c>
    </row>
    <row r="4" ht="15" customHeight="1" s="45">
      <c r="A4" s="57" t="inlineStr">
        <is>
          <t>Line Item</t>
        </is>
      </c>
      <c r="B4" s="57" t="inlineStr">
        <is>
          <t>FY2026A</t>
        </is>
      </c>
      <c r="C4" s="57" t="inlineStr">
        <is>
          <t>FY2027E</t>
        </is>
      </c>
      <c r="D4" s="57" t="inlineStr">
        <is>
          <t>FY2028E</t>
        </is>
      </c>
      <c r="E4" s="57" t="inlineStr">
        <is>
          <t>FY2029E</t>
        </is>
      </c>
    </row>
    <row r="5" ht="15" customHeight="1" s="45">
      <c r="A5" s="47" t="inlineStr">
        <is>
          <t>Cash &amp; Equivalents</t>
        </is>
      </c>
      <c r="B5" s="72">
        <f>Historicals!D31</f>
        <v/>
      </c>
      <c r="C5" s="60">
        <f>B5+'Cash Flow'!C18</f>
        <v/>
      </c>
      <c r="D5" s="60">
        <f>C5+'Cash Flow'!D18</f>
        <v/>
      </c>
      <c r="E5" s="60">
        <f>D5+'Cash Flow'!E18</f>
        <v/>
      </c>
    </row>
    <row r="6" ht="15" customHeight="1" s="45">
      <c r="A6" s="50" t="inlineStr">
        <is>
          <t>Short-Term Investments</t>
        </is>
      </c>
      <c r="B6" s="72">
        <f>Historicals!$D$32</f>
        <v/>
      </c>
      <c r="C6" s="72">
        <f>Historicals!$D$32</f>
        <v/>
      </c>
      <c r="D6" s="72">
        <f>Historicals!$D$32</f>
        <v/>
      </c>
      <c r="E6" s="72">
        <f>Historicals!$D$32</f>
        <v/>
      </c>
    </row>
    <row r="7" ht="15" customHeight="1" s="45">
      <c r="A7" s="50" t="inlineStr">
        <is>
          <t>Accounts Receivable, net</t>
        </is>
      </c>
      <c r="B7" s="72">
        <f>Historicals!D33</f>
        <v/>
      </c>
      <c r="C7" s="60">
        <f>'Segment Revenue Build'!C13*SUMIFS(Assumptions!$C$25:$C$39,Assumptions!$A$25:$A$39,"AR Days",Assumptions!$B$25:$B$39,$B$2)/365</f>
        <v/>
      </c>
      <c r="D7" s="60">
        <f>'Segment Revenue Build'!D13*SUMIFS(Assumptions!$D$25:$D$39,Assumptions!$A$25:$A$39,"AR Days",Assumptions!$B$25:$B$39,$B$2)/365</f>
        <v/>
      </c>
      <c r="E7" s="60">
        <f>'Segment Revenue Build'!E13*SUMIFS(Assumptions!$E$25:$E$39,Assumptions!$A$25:$A$39,"AR Days",Assumptions!$B$25:$B$39,$B$2)/365</f>
        <v/>
      </c>
    </row>
    <row r="8" ht="15" customHeight="1" s="45">
      <c r="A8" s="50" t="inlineStr">
        <is>
          <t>Inventories</t>
        </is>
      </c>
      <c r="B8" s="72">
        <f>Historicals!D34</f>
        <v/>
      </c>
      <c r="C8" s="60">
        <f>'Margin Bridge'!C9*SUMIFS(Assumptions!$C$25:$C$39,Assumptions!$A$25:$A$39,"Inventory Days",Assumptions!$B$25:$B$39,$B$2)/365</f>
        <v/>
      </c>
      <c r="D8" s="60">
        <f>'Margin Bridge'!D9*SUMIFS(Assumptions!$D$25:$D$39,Assumptions!$A$25:$A$39,"Inventory Days",Assumptions!$B$25:$B$39,$B$2)/365</f>
        <v/>
      </c>
      <c r="E8" s="60">
        <f>'Margin Bridge'!E9*SUMIFS(Assumptions!$E$25:$E$39,Assumptions!$A$25:$A$39,"Inventory Days",Assumptions!$B$25:$B$39,$B$2)/365</f>
        <v/>
      </c>
    </row>
    <row r="9" ht="15" customHeight="1" s="45">
      <c r="A9" s="50" t="inlineStr">
        <is>
          <t>Other Current Assets</t>
        </is>
      </c>
      <c r="B9" s="72">
        <f>Historicals!$D$35</f>
        <v/>
      </c>
      <c r="C9" s="72">
        <f>Historicals!$D$35</f>
        <v/>
      </c>
      <c r="D9" s="72">
        <f>Historicals!$D$35</f>
        <v/>
      </c>
      <c r="E9" s="72">
        <f>Historicals!$D$35</f>
        <v/>
      </c>
    </row>
    <row r="10" ht="15" customHeight="1" s="45">
      <c r="A10" s="47" t="inlineStr">
        <is>
          <t>Total Current Assets</t>
        </is>
      </c>
      <c r="B10" s="73">
        <f>SUM(B5:B9)</f>
        <v/>
      </c>
      <c r="C10" s="73">
        <f>SUM(C5:C9)</f>
        <v/>
      </c>
      <c r="D10" s="73">
        <f>SUM(D5:D9)</f>
        <v/>
      </c>
      <c r="E10" s="73">
        <f>SUM(E5:E9)</f>
        <v/>
      </c>
    </row>
    <row r="11" ht="15" customHeight="1" s="45">
      <c r="A11" s="50" t="inlineStr">
        <is>
          <t>Capital Expenditures</t>
        </is>
      </c>
      <c r="B11" s="72">
        <f>-Historicals!D58</f>
        <v/>
      </c>
      <c r="C11" s="60">
        <f>'Segment Revenue Build'!C13*Assumptions!$C$42</f>
        <v/>
      </c>
      <c r="D11" s="60">
        <f>'Segment Revenue Build'!D13*Assumptions!$C$42</f>
        <v/>
      </c>
      <c r="E11" s="60">
        <f>'Segment Revenue Build'!E13*Assumptions!$C$42</f>
        <v/>
      </c>
    </row>
    <row r="12" ht="15" customHeight="1" s="45">
      <c r="A12" s="50" t="inlineStr">
        <is>
          <t>Depreciation</t>
        </is>
      </c>
      <c r="B12" s="78" t="inlineStr">
        <is>
          <t>n/a</t>
        </is>
      </c>
      <c r="C12" s="60">
        <f>B13*Assumptions!$C$45</f>
        <v/>
      </c>
      <c r="D12" s="60">
        <f>C13*Assumptions!$C$45</f>
        <v/>
      </c>
      <c r="E12" s="60">
        <f>D13*Assumptions!$C$45</f>
        <v/>
      </c>
    </row>
    <row r="13" ht="15" customHeight="1" s="45">
      <c r="A13" s="50" t="inlineStr">
        <is>
          <t>Net PP&amp;E</t>
        </is>
      </c>
      <c r="B13" s="72">
        <f>Historicals!D37</f>
        <v/>
      </c>
      <c r="C13" s="60">
        <f>B13+C11-C12</f>
        <v/>
      </c>
      <c r="D13" s="60">
        <f>C13+D11-D12</f>
        <v/>
      </c>
      <c r="E13" s="60">
        <f>D13+E11-E12</f>
        <v/>
      </c>
    </row>
    <row r="14" ht="15" customHeight="1" s="45">
      <c r="A14" s="50" t="inlineStr">
        <is>
          <t>Goodwill &amp; Intangibles</t>
        </is>
      </c>
      <c r="B14" s="72">
        <f>Historicals!$D$38</f>
        <v/>
      </c>
      <c r="C14" s="72">
        <f>Historicals!$D$38</f>
        <v/>
      </c>
      <c r="D14" s="72">
        <f>Historicals!$D$38</f>
        <v/>
      </c>
      <c r="E14" s="72">
        <f>Historicals!$D$38</f>
        <v/>
      </c>
    </row>
    <row r="15" ht="15" customHeight="1" s="45">
      <c r="A15" s="50" t="inlineStr">
        <is>
          <t>Other Long-Term Assets</t>
        </is>
      </c>
      <c r="B15" s="72">
        <f>Historicals!$D$39</f>
        <v/>
      </c>
      <c r="C15" s="72">
        <f>Historicals!$D$39</f>
        <v/>
      </c>
      <c r="D15" s="72">
        <f>Historicals!$D$39</f>
        <v/>
      </c>
      <c r="E15" s="72">
        <f>Historicals!$D$39</f>
        <v/>
      </c>
    </row>
    <row r="16" ht="15" customHeight="1" s="45">
      <c r="A16" s="47" t="inlineStr">
        <is>
          <t>Total Assets</t>
        </is>
      </c>
      <c r="B16" s="73">
        <f>B10+B13+B14+B15</f>
        <v/>
      </c>
      <c r="C16" s="73">
        <f>C10+C13+C14+C15</f>
        <v/>
      </c>
      <c r="D16" s="73">
        <f>D10+D13+D14+D15</f>
        <v/>
      </c>
      <c r="E16" s="73">
        <f>E10+E13+E14+E15</f>
        <v/>
      </c>
    </row>
    <row r="18" ht="15" customHeight="1" s="45">
      <c r="A18" s="50" t="inlineStr">
        <is>
          <t>Accounts Payable</t>
        </is>
      </c>
      <c r="B18" s="72">
        <f>Historicals!D41</f>
        <v/>
      </c>
      <c r="C18" s="60">
        <f>'Margin Bridge'!C9*SUMIFS(Assumptions!$C$25:$C$39,Assumptions!$A$25:$A$39,"AP Days",Assumptions!$B$25:$B$39,$B$2)/365</f>
        <v/>
      </c>
      <c r="D18" s="60">
        <f>'Margin Bridge'!D9*SUMIFS(Assumptions!$D$25:$D$39,Assumptions!$A$25:$A$39,"AP Days",Assumptions!$B$25:$B$39,$B$2)/365</f>
        <v/>
      </c>
      <c r="E18" s="60">
        <f>'Margin Bridge'!E9*SUMIFS(Assumptions!$E$25:$E$39,Assumptions!$A$25:$A$39,"AP Days",Assumptions!$B$25:$B$39,$B$2)/365</f>
        <v/>
      </c>
    </row>
    <row r="19" ht="15" customHeight="1" s="45">
      <c r="A19" s="50" t="inlineStr">
        <is>
          <t>Accrued Liabilities</t>
        </is>
      </c>
      <c r="B19" s="72">
        <f>Historicals!$D$42</f>
        <v/>
      </c>
      <c r="C19" s="72">
        <f>Historicals!$D$42</f>
        <v/>
      </c>
      <c r="D19" s="72">
        <f>Historicals!$D$42</f>
        <v/>
      </c>
      <c r="E19" s="72">
        <f>Historicals!$D$42</f>
        <v/>
      </c>
    </row>
    <row r="20" ht="15" customHeight="1" s="45">
      <c r="A20" s="50" t="inlineStr">
        <is>
          <t>Current Portion of Debt &amp; Leases</t>
        </is>
      </c>
      <c r="B20" s="72">
        <f>Historicals!$D$43</f>
        <v/>
      </c>
      <c r="C20" s="72">
        <f>Historicals!$D$43</f>
        <v/>
      </c>
      <c r="D20" s="72">
        <f>Historicals!$D$43</f>
        <v/>
      </c>
      <c r="E20" s="72">
        <f>Historicals!$D$43</f>
        <v/>
      </c>
    </row>
    <row r="21" ht="15" customHeight="1" s="45">
      <c r="A21" s="50" t="inlineStr">
        <is>
          <t>Other Current Liabilities</t>
        </is>
      </c>
      <c r="B21" s="72">
        <f>Historicals!$D$44</f>
        <v/>
      </c>
      <c r="C21" s="72">
        <f>Historicals!$D$44</f>
        <v/>
      </c>
      <c r="D21" s="72">
        <f>Historicals!$D$44</f>
        <v/>
      </c>
      <c r="E21" s="72">
        <f>Historicals!$D$44</f>
        <v/>
      </c>
    </row>
    <row r="22" ht="15" customHeight="1" s="45">
      <c r="A22" s="47" t="inlineStr">
        <is>
          <t>Total Current Liabilities</t>
        </is>
      </c>
      <c r="B22" s="73">
        <f>SUM(B18:B21)</f>
        <v/>
      </c>
      <c r="C22" s="73">
        <f>SUM(C18:C21)</f>
        <v/>
      </c>
      <c r="D22" s="73">
        <f>SUM(D18:D21)</f>
        <v/>
      </c>
      <c r="E22" s="73">
        <f>SUM(E18:E21)</f>
        <v/>
      </c>
    </row>
    <row r="23" ht="15" customHeight="1" s="45">
      <c r="A23" s="50" t="inlineStr">
        <is>
          <t>Long-Term Debt</t>
        </is>
      </c>
      <c r="B23" s="72">
        <f>Historicals!$D$46</f>
        <v/>
      </c>
      <c r="C23" s="72">
        <f>Historicals!$D$46</f>
        <v/>
      </c>
      <c r="D23" s="72">
        <f>Historicals!$D$46</f>
        <v/>
      </c>
      <c r="E23" s="72">
        <f>Historicals!$D$46</f>
        <v/>
      </c>
    </row>
    <row r="24" ht="15" customHeight="1" s="45">
      <c r="A24" s="50" t="inlineStr">
        <is>
          <t>Long-Term Lease Liabilities</t>
        </is>
      </c>
      <c r="B24" s="72">
        <f>Historicals!$D$47</f>
        <v/>
      </c>
      <c r="C24" s="72">
        <f>Historicals!$D$47</f>
        <v/>
      </c>
      <c r="D24" s="72">
        <f>Historicals!$D$47</f>
        <v/>
      </c>
      <c r="E24" s="72">
        <f>Historicals!$D$47</f>
        <v/>
      </c>
    </row>
    <row r="25" ht="15" customHeight="1" s="45">
      <c r="A25" s="50" t="inlineStr">
        <is>
          <t>Other Long-Term Liabilities</t>
        </is>
      </c>
      <c r="B25" s="72">
        <f>Historicals!$D$48</f>
        <v/>
      </c>
      <c r="C25" s="72">
        <f>Historicals!$D$48</f>
        <v/>
      </c>
      <c r="D25" s="72">
        <f>Historicals!$D$48</f>
        <v/>
      </c>
      <c r="E25" s="72">
        <f>Historicals!$D$48</f>
        <v/>
      </c>
    </row>
    <row r="26" ht="15" customHeight="1" s="45">
      <c r="A26" s="47" t="inlineStr">
        <is>
          <t>Total Liabilities</t>
        </is>
      </c>
      <c r="B26" s="73">
        <f>B22+B23+B24+B25</f>
        <v/>
      </c>
      <c r="C26" s="73">
        <f>C22+C23+C24+C25</f>
        <v/>
      </c>
      <c r="D26" s="73">
        <f>D22+D23+D24+D25</f>
        <v/>
      </c>
      <c r="E26" s="73">
        <f>E22+E23+E24+E25</f>
        <v/>
      </c>
    </row>
    <row r="28" ht="15" customHeight="1" s="45">
      <c r="A28" s="50" t="inlineStr">
        <is>
          <t>Dividends Paid</t>
        </is>
      </c>
      <c r="B28" s="72">
        <f>-Historicals!D60</f>
        <v/>
      </c>
      <c r="C28" s="60">
        <f>B28*(1+Assumptions!$C$46)</f>
        <v/>
      </c>
      <c r="D28" s="60">
        <f>C28*(1+Assumptions!$C$46)</f>
        <v/>
      </c>
      <c r="E28" s="60">
        <f>D28*(1+Assumptions!$C$46)</f>
        <v/>
      </c>
    </row>
    <row r="29" ht="15" customHeight="1" s="45">
      <c r="A29" s="47" t="inlineStr">
        <is>
          <t>Total Shareholders' Equity</t>
        </is>
      </c>
      <c r="B29" s="72">
        <f>Historicals!D50</f>
        <v/>
      </c>
      <c r="C29" s="60">
        <f>B29+'Margin Bridge'!C20-C28</f>
        <v/>
      </c>
      <c r="D29" s="60">
        <f>C29+'Margin Bridge'!D20-D28</f>
        <v/>
      </c>
      <c r="E29" s="60">
        <f>D29+'Margin Bridge'!E20-E28</f>
        <v/>
      </c>
    </row>
    <row r="30" ht="15" customHeight="1" s="45">
      <c r="A30" s="47" t="inlineStr">
        <is>
          <t>Total Liabilities &amp; Equity</t>
        </is>
      </c>
      <c r="B30" s="73">
        <f>B26+B29</f>
        <v/>
      </c>
      <c r="C30" s="73">
        <f>C26+C29</f>
        <v/>
      </c>
      <c r="D30" s="73">
        <f>D26+D29</f>
        <v/>
      </c>
      <c r="E30" s="73">
        <f>E26+E29</f>
        <v/>
      </c>
    </row>
    <row r="31" ht="15" customHeight="1" s="45">
      <c r="A31" s="47" t="inlineStr">
        <is>
          <t>Balance Check (should = 0)</t>
        </is>
      </c>
      <c r="B31" s="60">
        <f>B16-B30</f>
        <v/>
      </c>
      <c r="C31" s="60">
        <f>C16-C30</f>
        <v/>
      </c>
      <c r="D31" s="60">
        <f>D16-D30</f>
        <v/>
      </c>
      <c r="E31" s="60">
        <f>E16-E30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14" customWidth="1" style="44" min="2" max="5"/>
  </cols>
  <sheetData>
    <row r="1" ht="17.25" customHeight="1" s="45">
      <c r="A1" s="46" t="inlineStr">
        <is>
          <t>Cash Flow Statement — FY2026A-FY2029E</t>
        </is>
      </c>
    </row>
    <row r="2" ht="15" customHeight="1" s="45">
      <c r="A2" s="47" t="inlineStr">
        <is>
          <t>Scenario active:</t>
        </is>
      </c>
      <c r="B2" s="69">
        <f>Assumptions!C3</f>
        <v/>
      </c>
    </row>
    <row r="3" ht="15" customHeight="1" s="45">
      <c r="A3" s="56" t="inlineStr">
        <is>
          <t>$ in millions</t>
        </is>
      </c>
    </row>
    <row r="4" ht="15" customHeight="1" s="45">
      <c r="A4" s="57" t="inlineStr">
        <is>
          <t>Line Item</t>
        </is>
      </c>
      <c r="B4" s="57" t="inlineStr">
        <is>
          <t>FY2026A</t>
        </is>
      </c>
      <c r="C4" s="57" t="inlineStr">
        <is>
          <t>FY2027E</t>
        </is>
      </c>
      <c r="D4" s="57" t="inlineStr">
        <is>
          <t>FY2028E</t>
        </is>
      </c>
      <c r="E4" s="57" t="inlineStr">
        <is>
          <t>FY2029E</t>
        </is>
      </c>
    </row>
    <row r="5" ht="15" customHeight="1" s="45">
      <c r="A5" s="50" t="inlineStr">
        <is>
          <t>Net Income</t>
        </is>
      </c>
      <c r="B5" s="72">
        <f>'Margin Bridge'!B20</f>
        <v/>
      </c>
      <c r="C5" s="60">
        <f>'Margin Bridge'!C20</f>
        <v/>
      </c>
      <c r="D5" s="60">
        <f>'Margin Bridge'!D20</f>
        <v/>
      </c>
      <c r="E5" s="60">
        <f>'Margin Bridge'!E20</f>
        <v/>
      </c>
    </row>
    <row r="6" ht="15" customHeight="1" s="45">
      <c r="A6" s="50" t="inlineStr">
        <is>
          <t>(+) Depreciation</t>
        </is>
      </c>
      <c r="B6" s="79" t="inlineStr">
        <is>
          <t>n/a</t>
        </is>
      </c>
      <c r="C6" s="60">
        <f>'Balance Sheet'!C12</f>
        <v/>
      </c>
      <c r="D6" s="60">
        <f>'Balance Sheet'!D12</f>
        <v/>
      </c>
      <c r="E6" s="60">
        <f>'Balance Sheet'!E12</f>
        <v/>
      </c>
    </row>
    <row r="7" ht="15" customHeight="1" s="45">
      <c r="A7" s="50" t="inlineStr">
        <is>
          <t>(-) Increase in Accounts Receivable</t>
        </is>
      </c>
      <c r="B7" s="79" t="inlineStr">
        <is>
          <t>n/a</t>
        </is>
      </c>
      <c r="C7" s="60">
        <f>-('Balance Sheet'!C7-'Balance Sheet'!B7)</f>
        <v/>
      </c>
      <c r="D7" s="60">
        <f>-('Balance Sheet'!D7-'Balance Sheet'!C7)</f>
        <v/>
      </c>
      <c r="E7" s="60">
        <f>-('Balance Sheet'!E7-'Balance Sheet'!D7)</f>
        <v/>
      </c>
    </row>
    <row r="8" ht="15" customHeight="1" s="45">
      <c r="A8" s="50" t="inlineStr">
        <is>
          <t>(-) Increase in Inventory</t>
        </is>
      </c>
      <c r="B8" s="79" t="inlineStr">
        <is>
          <t>n/a</t>
        </is>
      </c>
      <c r="C8" s="60">
        <f>-('Balance Sheet'!C8-'Balance Sheet'!B8)</f>
        <v/>
      </c>
      <c r="D8" s="60">
        <f>-('Balance Sheet'!D8-'Balance Sheet'!C8)</f>
        <v/>
      </c>
      <c r="E8" s="60">
        <f>-('Balance Sheet'!E8-'Balance Sheet'!D8)</f>
        <v/>
      </c>
    </row>
    <row r="9" ht="15" customHeight="1" s="45">
      <c r="A9" s="50" t="inlineStr">
        <is>
          <t>(+) Increase in Accounts Payable</t>
        </is>
      </c>
      <c r="B9" s="79" t="inlineStr">
        <is>
          <t>n/a</t>
        </is>
      </c>
      <c r="C9" s="60">
        <f>'Balance Sheet'!C18-'Balance Sheet'!B18</f>
        <v/>
      </c>
      <c r="D9" s="60">
        <f>'Balance Sheet'!D18-'Balance Sheet'!C18</f>
        <v/>
      </c>
      <c r="E9" s="60">
        <f>'Balance Sheet'!E18-'Balance Sheet'!D18</f>
        <v/>
      </c>
    </row>
    <row r="10" ht="15" customHeight="1" s="45">
      <c r="A10" s="47" t="inlineStr">
        <is>
          <t>Cash from Operating Activities</t>
        </is>
      </c>
      <c r="B10" s="80">
        <f>Historicals!D57</f>
        <v/>
      </c>
      <c r="C10" s="73">
        <f>SUM(C5:C9)</f>
        <v/>
      </c>
      <c r="D10" s="73">
        <f>SUM(D5:D9)</f>
        <v/>
      </c>
      <c r="E10" s="73">
        <f>SUM(E5:E9)</f>
        <v/>
      </c>
    </row>
    <row r="12" ht="15" customHeight="1" s="45">
      <c r="A12" s="50" t="inlineStr">
        <is>
          <t>Capital Expenditures</t>
        </is>
      </c>
      <c r="B12" s="72">
        <f>Historicals!D58</f>
        <v/>
      </c>
      <c r="C12" s="60">
        <f>-'Balance Sheet'!C11</f>
        <v/>
      </c>
      <c r="D12" s="60">
        <f>-'Balance Sheet'!D11</f>
        <v/>
      </c>
      <c r="E12" s="60">
        <f>-'Balance Sheet'!E11</f>
        <v/>
      </c>
    </row>
    <row r="13" ht="15" customHeight="1" s="45">
      <c r="A13" s="47" t="inlineStr">
        <is>
          <t>Cash from Investing Activities</t>
        </is>
      </c>
      <c r="B13" s="73">
        <f>B12</f>
        <v/>
      </c>
      <c r="C13" s="73">
        <f>C12</f>
        <v/>
      </c>
      <c r="D13" s="73">
        <f>D12</f>
        <v/>
      </c>
      <c r="E13" s="73">
        <f>E12</f>
        <v/>
      </c>
    </row>
    <row r="15" ht="15" customHeight="1" s="45">
      <c r="A15" s="50" t="inlineStr">
        <is>
          <t>Dividends Paid</t>
        </is>
      </c>
      <c r="B15" s="72">
        <f>Historicals!D60</f>
        <v/>
      </c>
      <c r="C15" s="60">
        <f>-'Balance Sheet'!C28</f>
        <v/>
      </c>
      <c r="D15" s="60">
        <f>-'Balance Sheet'!D28</f>
        <v/>
      </c>
      <c r="E15" s="60">
        <f>-'Balance Sheet'!E28</f>
        <v/>
      </c>
    </row>
    <row r="16" ht="15" customHeight="1" s="45">
      <c r="A16" s="47" t="inlineStr">
        <is>
          <t>Cash from Financing Activities</t>
        </is>
      </c>
      <c r="B16" s="73">
        <f>B15</f>
        <v/>
      </c>
      <c r="C16" s="73">
        <f>C15</f>
        <v/>
      </c>
      <c r="D16" s="73">
        <f>D15</f>
        <v/>
      </c>
      <c r="E16" s="73">
        <f>E15</f>
        <v/>
      </c>
    </row>
    <row r="18" ht="15" customHeight="1" s="45">
      <c r="A18" s="47" t="inlineStr">
        <is>
          <t>Net Change in Cash</t>
        </is>
      </c>
      <c r="B18" s="73">
        <f>B10+B13+B16</f>
        <v/>
      </c>
      <c r="C18" s="73">
        <f>C10+C13+C16</f>
        <v/>
      </c>
      <c r="D18" s="73">
        <f>D10+D13+D16</f>
        <v/>
      </c>
      <c r="E18" s="73">
        <f>E10+E13+E16</f>
        <v/>
      </c>
    </row>
    <row r="20" ht="39.75" customHeight="1" s="45">
      <c r="A20" s="64" t="inlineStr">
        <is>
          <t>Note: FY2026A column shows actual reported cash flow summary for reference. Working-capital-driven detail (rows 6-9) is not available for FY2026A since it requires a prior-year balance sheet not built in this model; the projected years (FY2027E-FY2029E) are fully computed.</t>
        </is>
      </c>
    </row>
  </sheetData>
  <mergeCells count="2"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44" min="1" max="1"/>
    <col width="15" customWidth="1" style="44" min="2" max="4"/>
    <col width="55" customWidth="1" style="45" min="3" max="3"/>
    <col width="55" customWidth="1" style="44" min="5" max="5"/>
  </cols>
  <sheetData>
    <row r="1" ht="17.25" customHeight="1" s="45">
      <c r="A1" s="46" t="inlineStr">
        <is>
          <t>Scenario Comparison — FY2029E Outcomes</t>
        </is>
      </c>
    </row>
    <row r="2" ht="15" customHeight="1" s="45">
      <c r="A2" s="56" t="inlineStr">
        <is>
          <t>$ in millions, except per-share data and percentages</t>
        </is>
      </c>
    </row>
    <row r="3" ht="15" customHeight="1" s="45">
      <c r="A3" s="47" t="inlineStr">
        <is>
          <t>Segment Revenue by Scenario, FY2029E</t>
        </is>
      </c>
    </row>
    <row r="4" ht="15" customHeight="1" s="45">
      <c r="A4" s="57" t="inlineStr">
        <is>
          <t>Segment</t>
        </is>
      </c>
      <c r="B4" s="57" t="inlineStr">
        <is>
          <t>Bull</t>
        </is>
      </c>
      <c r="C4" s="57" t="inlineStr">
        <is>
          <t>Base</t>
        </is>
      </c>
      <c r="D4" s="57" t="inlineStr">
        <is>
          <t>Bear</t>
        </is>
      </c>
    </row>
    <row r="5" ht="15" customHeight="1" s="45">
      <c r="A5" s="50" t="inlineStr">
        <is>
          <t>North America</t>
        </is>
      </c>
      <c r="B5" s="60">
        <f>Historicals!$D$5*(1+SUMIFS(Assumptions!$C$6:$C$17,Assumptions!$A$6:$A$17,$A5,Assumptions!$B$6:$B$17,"Bull"))*(1+SUMIFS(Assumptions!$D$6:$D$17,Assumptions!$A$6:$A$17,$A5,Assumptions!$B$6:$B$17,"Bull"))*(1+SUMIFS(Assumptions!$E$6:$E$17,Assumptions!$A$6:$A$17,$A5,Assumptions!$B$6:$B$17,"Bull"))</f>
        <v/>
      </c>
      <c r="C5" s="60">
        <f>Historicals!$D$5*(1+SUMIFS(Assumptions!$C$6:$C$17,Assumptions!$A$6:$A$17,$A5,Assumptions!$B$6:$B$17,"Base"))*(1+SUMIFS(Assumptions!$D$6:$D$17,Assumptions!$A$6:$A$17,$A5,Assumptions!$B$6:$B$17,"Base"))*(1+SUMIFS(Assumptions!$E$6:$E$17,Assumptions!$A$6:$A$17,$A5,Assumptions!$B$6:$B$17,"Base"))</f>
        <v/>
      </c>
      <c r="D5" s="60">
        <f>Historicals!$D$5*(1+SUMIFS(Assumptions!$C$6:$C$17,Assumptions!$A$6:$A$17,$A5,Assumptions!$B$6:$B$17,"Bear"))*(1+SUMIFS(Assumptions!$D$6:$D$17,Assumptions!$A$6:$A$17,$A5,Assumptions!$B$6:$B$17,"Bear"))*(1+SUMIFS(Assumptions!$E$6:$E$17,Assumptions!$A$6:$A$17,$A5,Assumptions!$B$6:$B$17,"Bear"))</f>
        <v/>
      </c>
    </row>
    <row r="6" ht="15" customHeight="1" s="45">
      <c r="A6" s="50" t="inlineStr">
        <is>
          <t>EMEA</t>
        </is>
      </c>
      <c r="B6" s="60">
        <f>Historicals!$D$6*(1+SUMIFS(Assumptions!$C$6:$C$17,Assumptions!$A$6:$A$17,$A6,Assumptions!$B$6:$B$17,"Bull"))*(1+SUMIFS(Assumptions!$D$6:$D$17,Assumptions!$A$6:$A$17,$A6,Assumptions!$B$6:$B$17,"Bull"))*(1+SUMIFS(Assumptions!$E$6:$E$17,Assumptions!$A$6:$A$17,$A6,Assumptions!$B$6:$B$17,"Bull"))</f>
        <v/>
      </c>
      <c r="C6" s="60">
        <f>Historicals!$D$6*(1+SUMIFS(Assumptions!$C$6:$C$17,Assumptions!$A$6:$A$17,$A6,Assumptions!$B$6:$B$17,"Base"))*(1+SUMIFS(Assumptions!$D$6:$D$17,Assumptions!$A$6:$A$17,$A6,Assumptions!$B$6:$B$17,"Base"))*(1+SUMIFS(Assumptions!$E$6:$E$17,Assumptions!$A$6:$A$17,$A6,Assumptions!$B$6:$B$17,"Base"))</f>
        <v/>
      </c>
      <c r="D6" s="60">
        <f>Historicals!$D$6*(1+SUMIFS(Assumptions!$C$6:$C$17,Assumptions!$A$6:$A$17,$A6,Assumptions!$B$6:$B$17,"Bear"))*(1+SUMIFS(Assumptions!$D$6:$D$17,Assumptions!$A$6:$A$17,$A6,Assumptions!$B$6:$B$17,"Bear"))*(1+SUMIFS(Assumptions!$E$6:$E$17,Assumptions!$A$6:$A$17,$A6,Assumptions!$B$6:$B$17,"Bear"))</f>
        <v/>
      </c>
    </row>
    <row r="7" ht="15" customHeight="1" s="45">
      <c r="A7" s="50" t="inlineStr">
        <is>
          <t>Greater China</t>
        </is>
      </c>
      <c r="B7" s="60">
        <f>Historicals!$D$7*(1+SUMIFS(Assumptions!$C$6:$C$17,Assumptions!$A$6:$A$17,$A7,Assumptions!$B$6:$B$17,"Bull"))*(1+SUMIFS(Assumptions!$D$6:$D$17,Assumptions!$A$6:$A$17,$A7,Assumptions!$B$6:$B$17,"Bull"))*(1+SUMIFS(Assumptions!$E$6:$E$17,Assumptions!$A$6:$A$17,$A7,Assumptions!$B$6:$B$17,"Bull"))</f>
        <v/>
      </c>
      <c r="C7" s="60">
        <f>Historicals!$D$7*(1+SUMIFS(Assumptions!$C$6:$C$17,Assumptions!$A$6:$A$17,$A7,Assumptions!$B$6:$B$17,"Base"))*(1+SUMIFS(Assumptions!$D$6:$D$17,Assumptions!$A$6:$A$17,$A7,Assumptions!$B$6:$B$17,"Base"))*(1+SUMIFS(Assumptions!$E$6:$E$17,Assumptions!$A$6:$A$17,$A7,Assumptions!$B$6:$B$17,"Base"))</f>
        <v/>
      </c>
      <c r="D7" s="60">
        <f>Historicals!$D$7*(1+SUMIFS(Assumptions!$C$6:$C$17,Assumptions!$A$6:$A$17,$A7,Assumptions!$B$6:$B$17,"Bear"))*(1+SUMIFS(Assumptions!$D$6:$D$17,Assumptions!$A$6:$A$17,$A7,Assumptions!$B$6:$B$17,"Bear"))*(1+SUMIFS(Assumptions!$E$6:$E$17,Assumptions!$A$6:$A$17,$A7,Assumptions!$B$6:$B$17,"Bear"))</f>
        <v/>
      </c>
    </row>
    <row r="8" ht="15" customHeight="1" s="45">
      <c r="A8" s="50" t="inlineStr">
        <is>
          <t>APLA</t>
        </is>
      </c>
      <c r="B8" s="60">
        <f>Historicals!$D$8*(1+SUMIFS(Assumptions!$C$6:$C$17,Assumptions!$A$6:$A$17,$A8,Assumptions!$B$6:$B$17,"Bull"))*(1+SUMIFS(Assumptions!$D$6:$D$17,Assumptions!$A$6:$A$17,$A8,Assumptions!$B$6:$B$17,"Bull"))*(1+SUMIFS(Assumptions!$E$6:$E$17,Assumptions!$A$6:$A$17,$A8,Assumptions!$B$6:$B$17,"Bull"))</f>
        <v/>
      </c>
      <c r="C8" s="60">
        <f>Historicals!$D$8*(1+SUMIFS(Assumptions!$C$6:$C$17,Assumptions!$A$6:$A$17,$A8,Assumptions!$B$6:$B$17,"Base"))*(1+SUMIFS(Assumptions!$D$6:$D$17,Assumptions!$A$6:$A$17,$A8,Assumptions!$B$6:$B$17,"Base"))*(1+SUMIFS(Assumptions!$E$6:$E$17,Assumptions!$A$6:$A$17,$A8,Assumptions!$B$6:$B$17,"Base"))</f>
        <v/>
      </c>
      <c r="D8" s="60">
        <f>Historicals!$D$8*(1+SUMIFS(Assumptions!$C$6:$C$17,Assumptions!$A$6:$A$17,$A8,Assumptions!$B$6:$B$17,"Bear"))*(1+SUMIFS(Assumptions!$D$6:$D$17,Assumptions!$A$6:$A$17,$A8,Assumptions!$B$6:$B$17,"Bear"))*(1+SUMIFS(Assumptions!$E$6:$E$17,Assumptions!$A$6:$A$17,$A8,Assumptions!$B$6:$B$17,"Bear"))</f>
        <v/>
      </c>
    </row>
    <row r="9" ht="15" customHeight="1" s="45">
      <c r="A9" s="50" t="inlineStr">
        <is>
          <t>Converse</t>
        </is>
      </c>
      <c r="B9" s="60">
        <f>Historicals!$D$9*(1+Assumptions!$C$50)*(1+Assumptions!$D$50)*(1+Assumptions!$E$50)</f>
        <v/>
      </c>
      <c r="C9" s="60">
        <f>Historicals!$D$9*(1+Assumptions!$C$50)*(1+Assumptions!$D$50)*(1+Assumptions!$E$50)</f>
        <v/>
      </c>
      <c r="D9" s="60">
        <f>Historicals!$D$9*(1+Assumptions!$C$50)*(1+Assumptions!$D$50)*(1+Assumptions!$E$50)</f>
        <v/>
      </c>
    </row>
    <row r="10" ht="15" customHeight="1" s="45">
      <c r="A10" s="50" t="inlineStr">
        <is>
          <t>Other (Global Brand Div. &amp; Corporate)</t>
        </is>
      </c>
      <c r="B10" s="72">
        <f>Historicals!$D$10</f>
        <v/>
      </c>
      <c r="C10" s="72">
        <f>Historicals!$D$10</f>
        <v/>
      </c>
      <c r="D10" s="72">
        <f>Historicals!$D$10</f>
        <v/>
      </c>
    </row>
    <row r="11" ht="15" customHeight="1" s="45">
      <c r="A11" s="47" t="inlineStr">
        <is>
          <t>Total Consolidated Revenue, FY2029E</t>
        </is>
      </c>
      <c r="B11" s="73">
        <f>SUM(B5:B10)</f>
        <v/>
      </c>
      <c r="C11" s="73">
        <f>SUM(C5:C10)</f>
        <v/>
      </c>
      <c r="D11" s="73">
        <f>SUM(D5:D10)</f>
        <v/>
      </c>
    </row>
    <row r="12" ht="15" customHeight="1" s="45"/>
    <row r="13" ht="15" customHeight="1" s="45">
      <c r="A13" s="47" t="inlineStr">
        <is>
          <t>Profitability by Scenario, FY2029E</t>
        </is>
      </c>
    </row>
    <row r="14" ht="15" customHeight="1" s="45">
      <c r="A14" s="57" t="inlineStr">
        <is>
          <t>Metric</t>
        </is>
      </c>
      <c r="B14" s="57" t="inlineStr">
        <is>
          <t>Bull</t>
        </is>
      </c>
      <c r="C14" s="57" t="inlineStr">
        <is>
          <t>Base</t>
        </is>
      </c>
      <c r="D14" s="57" t="inlineStr">
        <is>
          <t>Bear</t>
        </is>
      </c>
    </row>
    <row r="15" ht="15" customHeight="1" s="45">
      <c r="A15" s="50" t="inlineStr">
        <is>
          <t>Gross Margin %</t>
        </is>
      </c>
      <c r="B15" s="62">
        <f>SUMIFS(Assumptions!$E$25:$E$39,Assumptions!$A$25:$A$39,"Gross Margin %",Assumptions!$B$25:$B$39,"Bull")</f>
        <v/>
      </c>
      <c r="C15" s="62">
        <f>SUMIFS(Assumptions!$E$25:$E$39,Assumptions!$A$25:$A$39,"Gross Margin %",Assumptions!$B$25:$B$39,"Base")</f>
        <v/>
      </c>
      <c r="D15" s="62">
        <f>SUMIFS(Assumptions!$E$25:$E$39,Assumptions!$A$25:$A$39,"Gross Margin %",Assumptions!$B$25:$B$39,"Bear")</f>
        <v/>
      </c>
    </row>
    <row r="16" ht="15" customHeight="1" s="45">
      <c r="A16" s="50" t="inlineStr">
        <is>
          <t>SG&amp;A % of Revenue</t>
        </is>
      </c>
      <c r="B16" s="62">
        <f>SUMIFS(Assumptions!$E$25:$E$39,Assumptions!$A$25:$A$39,"SG&amp;A % of Revenue",Assumptions!$B$25:$B$39,"Bull")</f>
        <v/>
      </c>
      <c r="C16" s="62">
        <f>SUMIFS(Assumptions!$E$25:$E$39,Assumptions!$A$25:$A$39,"SG&amp;A % of Revenue",Assumptions!$B$25:$B$39,"Base")</f>
        <v/>
      </c>
      <c r="D16" s="62">
        <f>SUMIFS(Assumptions!$E$25:$E$39,Assumptions!$A$25:$A$39,"SG&amp;A % of Revenue",Assumptions!$B$25:$B$39,"Bear")</f>
        <v/>
      </c>
    </row>
    <row r="17" ht="15" customHeight="1" s="45">
      <c r="A17" s="50" t="inlineStr">
        <is>
          <t>Operating Income</t>
        </is>
      </c>
      <c r="B17" s="60">
        <f>B11*(B15-B16)</f>
        <v/>
      </c>
      <c r="C17" s="60">
        <f>C11*(C15-C16)</f>
        <v/>
      </c>
      <c r="D17" s="60">
        <f>D11*(D15-D16)</f>
        <v/>
      </c>
    </row>
    <row r="18" ht="15" customHeight="1" s="45">
      <c r="A18" s="47" t="inlineStr">
        <is>
          <t>Net Income (after interest &amp; tax)</t>
        </is>
      </c>
      <c r="B18" s="73">
        <f>(B17-'Margin Bridge'!$E$17)*(1-Assumptions!$C$41)</f>
        <v/>
      </c>
      <c r="C18" s="73">
        <f>(C17-'Margin Bridge'!$E$17)*(1-Assumptions!$C$41)</f>
        <v/>
      </c>
      <c r="D18" s="73">
        <f>(D17-'Margin Bridge'!$E$17)*(1-Assumptions!$C$41)</f>
        <v/>
      </c>
    </row>
    <row r="19" ht="15" customHeight="1" s="45">
      <c r="A19" s="47" t="inlineStr">
        <is>
          <t>Diluted EPS</t>
        </is>
      </c>
      <c r="B19" s="81">
        <f>B18/Assumptions!$C$48</f>
        <v/>
      </c>
      <c r="C19" s="81">
        <f>C18/Assumptions!$C$48</f>
        <v/>
      </c>
      <c r="D19" s="81">
        <f>D18/Assumptions!$C$48</f>
        <v/>
      </c>
    </row>
    <row r="20" ht="15" customHeight="1" s="45"/>
    <row r="21" ht="15" customHeight="1" s="45"/>
    <row r="22" ht="15" customHeight="1" s="45">
      <c r="A22" s="47" t="inlineStr">
        <is>
          <t>Consensus Sanity Check — Diluted EPS, FY2027E-FY2029E</t>
        </is>
      </c>
    </row>
    <row r="23" ht="15" customHeight="1" s="45">
      <c r="A23" s="57" t="inlineStr">
        <is>
          <t>Source</t>
        </is>
      </c>
      <c r="B23" s="57" t="inlineStr">
        <is>
          <t>FY2027E</t>
        </is>
      </c>
      <c r="C23" s="57" t="inlineStr">
        <is>
          <t>FY2028E</t>
        </is>
      </c>
      <c r="D23" s="57" t="inlineStr">
        <is>
          <t>FY2029E</t>
        </is>
      </c>
      <c r="E23" s="57" t="inlineStr">
        <is>
          <t>Note</t>
        </is>
      </c>
    </row>
    <row r="24" ht="15" customHeight="1" s="45">
      <c r="A24" s="47" t="inlineStr">
        <is>
          <t>This model (Base case)</t>
        </is>
      </c>
      <c r="B24" s="82">
        <f>'Margin Bridge'!C22</f>
        <v/>
      </c>
      <c r="C24" s="82">
        <f>'Margin Bridge'!D22</f>
        <v/>
      </c>
      <c r="D24" s="82">
        <f>'Margin Bridge'!E22</f>
        <v/>
      </c>
      <c r="E24" s="59" t="inlineStr">
        <is>
          <t>Computed from full linked, consolidated-scope model</t>
        </is>
      </c>
    </row>
    <row r="25" ht="15" customHeight="1" s="45">
      <c r="A25" s="50" t="inlineStr">
        <is>
          <t>Zacks Research consensus</t>
        </is>
      </c>
      <c r="B25" s="61" t="n">
        <v>1.69</v>
      </c>
      <c r="C25" s="61" t="n">
        <v>2.11</v>
      </c>
      <c r="D25" s="61" t="n">
        <v>2.63</v>
      </c>
      <c r="E25" s="59" t="inlineStr">
        <is>
          <t>Directly published, dated July 21, 2026 (themarketsdaily.com / Zacks Research)</t>
        </is>
      </c>
    </row>
    <row r="26" ht="15" customHeight="1" s="45">
      <c r="A26" s="50" t="inlineStr">
        <is>
          <t>JPMorgan (bearish case)</t>
        </is>
      </c>
      <c r="B26" s="61" t="n">
        <v>1.55</v>
      </c>
      <c r="C26" s="61" t="n">
        <v>1.72</v>
      </c>
      <c r="D26" s="79" t="inlineStr">
        <is>
          <t>n/a</t>
        </is>
      </c>
      <c r="E26" s="59" t="inlineStr">
        <is>
          <t>Downgraded to Underweight July 2026; did not publish an FY2029E estimate</t>
        </is>
      </c>
    </row>
    <row r="27" ht="54.75" customHeight="1" s="45">
      <c r="A27" s="47" t="inlineStr">
        <is>
          <t>This model vs. Zacks consensus</t>
        </is>
      </c>
      <c r="B27" s="62">
        <f>B24/B25-1</f>
        <v/>
      </c>
      <c r="C27" s="62">
        <f>C24/C25-1</f>
        <v/>
      </c>
      <c r="D27" s="62">
        <f>D24/D25-1</f>
        <v/>
      </c>
    </row>
    <row r="29" ht="54.75" customHeight="1" s="45">
      <c r="A29" s="64" t="inlineStr">
        <is>
          <t>Note: figures above reflect the corrected consolidated revenue scope (NIKE Brand geographic segments plus Converse and Corporate/GBD), matching the Balance Sheet's consolidated basis. This model's FY2027E EPS runs modestly above Zacks consensus; FY2028E and FY2029E run modestly below, consistent with this model's more conservative Greater China recovery assumption. All three years remain well above JPMorgan's bearish case.</t>
        </is>
      </c>
    </row>
    <row r="32" ht="15" customHeight="1" s="45">
      <c r="A32" s="47" t="inlineStr">
        <is>
          <t>Breakeven Analysis: Does North America Offset Greater China by FY2028E? (Base Case)</t>
        </is>
      </c>
    </row>
    <row r="33" ht="26" customHeight="1" s="45">
      <c r="A33" s="76" t="inlineStr">
        <is>
          <t>Metric</t>
        </is>
      </c>
      <c r="B33" s="57" t="inlineStr">
        <is>
          <t>Value</t>
        </is>
      </c>
      <c r="C33" s="57" t="inlineStr">
        <is>
          <t>Note</t>
        </is>
      </c>
    </row>
    <row r="34" ht="26" customHeight="1" s="45">
      <c r="A34" s="83" t="inlineStr">
        <is>
          <t>Greater China Revenue, FY2026A</t>
        </is>
      </c>
      <c r="B34" s="72">
        <f>'Segment Revenue Build'!B7</f>
        <v/>
      </c>
    </row>
    <row r="35" ht="26" customHeight="1" s="45">
      <c r="A35" s="83" t="inlineStr">
        <is>
          <t>Greater China Revenue, FY2028E (Base)</t>
        </is>
      </c>
      <c r="B35" s="72">
        <f>'Segment Revenue Build'!D7</f>
        <v/>
      </c>
    </row>
    <row r="36" ht="26" customHeight="1" s="45">
      <c r="A36" s="83" t="inlineStr">
        <is>
          <t>Greater China Dollar Decline, FY26A-FY28E</t>
        </is>
      </c>
      <c r="B36" s="60">
        <f>B34-B35</f>
        <v/>
      </c>
    </row>
    <row r="37" ht="26" customHeight="1" s="45">
      <c r="A37" s="83" t="inlineStr">
        <is>
          <t>North America Revenue, FY2026A</t>
        </is>
      </c>
      <c r="B37" s="72">
        <f>'Segment Revenue Build'!B5</f>
        <v/>
      </c>
    </row>
    <row r="38" ht="26" customHeight="1" s="45">
      <c r="A38" s="84" t="inlineStr">
        <is>
          <t>North America Revenue Required by FY2028E to Fully Offset</t>
        </is>
      </c>
      <c r="B38" s="73">
        <f>B37+B36</f>
        <v/>
      </c>
    </row>
    <row r="39" ht="26" customHeight="1" s="45">
      <c r="A39" s="84" t="inlineStr">
        <is>
          <t>Required North America Annualized Growth (FY26A-FY28E)</t>
        </is>
      </c>
      <c r="B39" s="85">
        <f>(B38/B37)^(1/2)-1</f>
        <v/>
      </c>
    </row>
    <row r="40" ht="26" customHeight="1" s="45">
      <c r="A40" s="83" t="inlineStr">
        <is>
          <t>North America Revenue, FY2028E (Base Case Actual)</t>
        </is>
      </c>
      <c r="B40" s="72">
        <f>'Segment Revenue Build'!D5</f>
        <v/>
      </c>
    </row>
    <row r="41" ht="26" customHeight="1" s="45">
      <c r="A41" s="84" t="inlineStr">
        <is>
          <t>Base Case North America Annualized Growth (FY26A-FY28E)</t>
        </is>
      </c>
      <c r="B41" s="85">
        <f>(B40/B37)^(1/2)-1</f>
        <v/>
      </c>
    </row>
    <row r="42" ht="26" customHeight="1" s="45">
      <c r="A42" s="84" t="inlineStr">
        <is>
          <t>Cushion: Actual FY2028E NA Revenue vs. Required</t>
        </is>
      </c>
      <c r="B42" s="73">
        <f>B40-B38</f>
        <v/>
      </c>
      <c r="C42" s="59" t="inlineStr">
        <is>
          <t>Answers the thesis question directly: the offset holds, with this dollar cushion</t>
        </is>
      </c>
    </row>
  </sheetData>
  <mergeCells count="2">
    <mergeCell ref="A1:D1"/>
    <mergeCell ref="A29:E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2026-08-05T22:00:23Z</dcterms:created>
  <dcterms:modified xmlns:dcterms="http://purl.org/dc/terms/" xmlns:xsi="http://www.w3.org/2001/XMLSchema-instance" xsi:type="dcterms:W3CDTF">2026-08-06T23:14:58Z</dcterms:modified>
  <cp:revision>24</cp:revision>
</cp:coreProperties>
</file>