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ransaction Terms" sheetId="2" state="visible" r:id="rId4"/>
    <sheet name="Purchase Price Allocation" sheetId="3" state="visible" r:id="rId5"/>
    <sheet name="Microsoft Standalone" sheetId="4" state="visible" r:id="rId6"/>
    <sheet name="Activision Standalone" sheetId="5" state="visible" r:id="rId7"/>
    <sheet name="Sources &amp; Uses" sheetId="6" state="visible" r:id="rId8"/>
    <sheet name="Accretion Dilution" sheetId="7" state="visible" r:id="rId9"/>
    <sheet name="Synergy Breakeven" sheetId="8" state="visible" r:id="rId10"/>
    <sheet name="Pro Forma Income Statement" sheetId="9" state="visible" r:id="rId11"/>
    <sheet name="Pro Forma Balance Sheet" sheetId="10" state="visible" r:id="rId12"/>
    <sheet name="Pro Forma Cash Flow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<sst xmlns="http://schemas.openxmlformats.org/spreadsheetml/2006/main" count="581" uniqueCount="447">
  <si>
    <t xml:space="preserve">Microsoft / Activision Blizzard — M&amp;A Accretion/Dilution &amp; Strategic Analysis</t>
  </si>
  <si>
    <t xml:space="preserve">Thesis question:</t>
  </si>
  <si>
    <t xml:space="preserve">Was Microsoft's acquisition of Activision Blizzard financially justified, and what level of annual synergies was required for the deal to become EPS accretive?</t>
  </si>
  <si>
    <t xml:space="preserve">Build phases:</t>
  </si>
  <si>
    <t xml:space="preserve">• Phase 1: Transaction terms, purchase price allocation, standalone historicals — COMPLETE</t>
  </si>
  <si>
    <t xml:space="preserve">• Phase 2: Sources &amp; uses, financing structure — COMPLETE</t>
  </si>
  <si>
    <t xml:space="preserve">• Phase 3: Accretion/dilution EPS bridge — COMPLETE</t>
  </si>
  <si>
    <t xml:space="preserve">• Phase 4: Synergy breakeven sensitivity — COMPLETE / PUBLISHABLE CHECKPOINT</t>
  </si>
  <si>
    <t xml:space="preserve">• Phase 5: Combined pro forma income statement — IN PROGRESS (starter earnings bridge built)</t>
  </si>
  <si>
    <t xml:space="preserve">• Phase 6: Combined pro forma balance sheet</t>
  </si>
  <si>
    <t xml:space="preserve">• Phase 7: Combined cash flow + debt paydown</t>
  </si>
  <si>
    <t xml:space="preserve">• Phase 8: Strategic analysis, report, and deck</t>
  </si>
  <si>
    <t xml:space="preserve">Color legend:</t>
  </si>
  <si>
    <t xml:space="preserve">Blue text</t>
  </si>
  <si>
    <t xml:space="preserve">Hardcoded input, sourced from filings</t>
  </si>
  <si>
    <t xml:space="preserve">Black text</t>
  </si>
  <si>
    <t xml:space="preserve">Formula</t>
  </si>
  <si>
    <t xml:space="preserve">Green text</t>
  </si>
  <si>
    <t xml:space="preserve">Cross-sheet link</t>
  </si>
  <si>
    <t xml:space="preserve">Note: standalone historicals use each company's last full pre-close reporting year — Microsoft's FY2023 (ended June 30, 2023) and Activision's FY2022 (calendar year) — since the deal closed October 13, 2023, partway through Microsoft's FY2024.</t>
  </si>
  <si>
    <t xml:space="preserve">Transaction Terms</t>
  </si>
  <si>
    <t xml:space="preserve">Item</t>
  </si>
  <si>
    <t xml:space="preserve">Value</t>
  </si>
  <si>
    <t xml:space="preserve">Source</t>
  </si>
  <si>
    <t xml:space="preserve">Announcement date</t>
  </si>
  <si>
    <t xml:space="preserve">January 18, 2022</t>
  </si>
  <si>
    <t xml:space="preserve">Microsoft/Activision joint press release</t>
  </si>
  <si>
    <t xml:space="preserve">Close date</t>
  </si>
  <si>
    <t xml:space="preserve">October 13, 2023</t>
  </si>
  <si>
    <t xml:space="preserve">Microsoft FY2024 10-K</t>
  </si>
  <si>
    <t xml:space="preserve">Price per share (all-cash)</t>
  </si>
  <si>
    <t xml:space="preserve">Deal agreement; Microsoft FY2024 10-K</t>
  </si>
  <si>
    <t xml:space="preserve">Activision unaffected share price (Jan 14, 2022 close)</t>
  </si>
  <si>
    <t xml:space="preserve">Market data, last trading day before announcement</t>
  </si>
  <si>
    <t xml:space="preserve">Premium to unaffected price</t>
  </si>
  <si>
    <t xml:space="preserve">Headline vs. Accounting Purchase Price</t>
  </si>
  <si>
    <t xml:space="preserve">Measure</t>
  </si>
  <si>
    <t xml:space="preserve">Amount ($mm)</t>
  </si>
  <si>
    <t xml:space="preserve">How it's used</t>
  </si>
  <si>
    <t xml:space="preserve">Announced headline deal value</t>
  </si>
  <si>
    <t xml:space="preserve">Deal overview / media framing</t>
  </si>
  <si>
    <t xml:space="preserve">Final purchase-accounting price</t>
  </si>
  <si>
    <t xml:space="preserve">Microsoft final purchase price allocation (FY2025 10-K; $75.408B)</t>
  </si>
  <si>
    <t xml:space="preserve">Cash acquired from Activision</t>
  </si>
  <si>
    <t xml:space="preserve">Balance sheet / net cash consideration</t>
  </si>
  <si>
    <t xml:space="preserve">Cash paid, net of cash acquired</t>
  </si>
  <si>
    <t xml:space="preserve">Financing / cash flow analysis</t>
  </si>
  <si>
    <t xml:space="preserve">Activision long-term debt assumed</t>
  </si>
  <si>
    <t xml:space="preserve">Pro forma debt / EV considerations</t>
  </si>
  <si>
    <t xml:space="preserve">Source: Microsoft FY2024 Form 10-K (business combination note)</t>
  </si>
  <si>
    <t xml:space="preserve">Purchase Price Allocation</t>
  </si>
  <si>
    <t xml:space="preserve">Note</t>
  </si>
  <si>
    <t xml:space="preserve">Total purchase price</t>
  </si>
  <si>
    <t xml:space="preserve">Final consideration transferred</t>
  </si>
  <si>
    <t xml:space="preserve">Cash and cash equivalents acquired</t>
  </si>
  <si>
    <t xml:space="preserve">Part of net assets acquired</t>
  </si>
  <si>
    <t xml:space="preserve">Goodwill</t>
  </si>
  <si>
    <t xml:space="preserve">Final goodwill allocation; primarily attributed to expected integration synergies</t>
  </si>
  <si>
    <t xml:space="preserve">Identifiable intangible assets</t>
  </si>
  <si>
    <t xml:space="preserve">Final identifiable intangibles: marketing, technology, customer-related</t>
  </si>
  <si>
    <t xml:space="preserve">Long-term debt assumed</t>
  </si>
  <si>
    <t xml:space="preserve">Activision's existing notes, later mostly exchanged for MSFT notes</t>
  </si>
  <si>
    <t xml:space="preserve">Note: final purchase price allocation per Microsoft's FY2025 10-K. Intangible detail: $11,619mm marketing-related (24 yrs), $9,689mm technology-based (4 yrs), $661mm customer-related (4 yrs).</t>
  </si>
  <si>
    <t xml:space="preserve">Microsoft, Inc. — Standalone Historicals (Pre-Acquisition)</t>
  </si>
  <si>
    <t xml:space="preserve">$ in millions except per-share data. FY ended June 30. FY2023 is the last full year before the October 2023 close.</t>
  </si>
  <si>
    <t xml:space="preserve">Metric</t>
  </si>
  <si>
    <t xml:space="preserve">FY2023A</t>
  </si>
  <si>
    <t xml:space="preserve">Revenue</t>
  </si>
  <si>
    <t xml:space="preserve">Microsoft FY2023 Form 10-K / FY23 Q4 press release</t>
  </si>
  <si>
    <t xml:space="preserve">Operating Income</t>
  </si>
  <si>
    <t xml:space="preserve">Net Income</t>
  </si>
  <si>
    <t xml:space="preserve">Diluted EPS ($)</t>
  </si>
  <si>
    <t xml:space="preserve">Diluted Shares Outstanding (mm)</t>
  </si>
  <si>
    <t xml:space="preserve">Microsoft FY2023 Form 10-K, reported diluted weighted-average shares</t>
  </si>
  <si>
    <t xml:space="preserve">Operating Margin</t>
  </si>
  <si>
    <t xml:space="preserve">Derived diluted shares check (Net Income / EPS)</t>
  </si>
  <si>
    <t xml:space="preserve">Check only</t>
  </si>
  <si>
    <t xml:space="preserve">Activision Blizzard, Inc. — Standalone Historicals (Pre-Acquisition)</t>
  </si>
  <si>
    <t xml:space="preserve">$ in millions except per-share data. FY is calendar year. FY2022 is the last full year before the October 2023 close.</t>
  </si>
  <si>
    <t xml:space="preserve">FY2022A</t>
  </si>
  <si>
    <t xml:space="preserve">Activision Blizzard FY2022 Form 10-K, consolidated statement of operations</t>
  </si>
  <si>
    <t xml:space="preserve">Activision Blizzard FY2022 Form 10-K / FY2022 earnings release</t>
  </si>
  <si>
    <t xml:space="preserve">Activision Blizzard FY2022 Form 10-K (10-K figure; differs from earnings-release rounding of $1.94)</t>
  </si>
  <si>
    <t xml:space="preserve">GAAP Operating Margin</t>
  </si>
  <si>
    <t xml:space="preserve">Calculated from exact reported operating income / revenue</t>
  </si>
  <si>
    <t xml:space="preserve">Activision Blizzard FY2022 Form 10-K, reported diluted weighted-average shares</t>
  </si>
  <si>
    <t xml:space="preserve">Pretax Income (exact, reported)</t>
  </si>
  <si>
    <t xml:space="preserve">Activision Blizzard FY2022 10-K / Q4 2022 earnings release exhibit, consolidated statement of operations</t>
  </si>
  <si>
    <t xml:space="preserve">Income Tax Expense (exact, reported)</t>
  </si>
  <si>
    <t xml:space="preserve">Activision Blizzard FY2022 10-K, consolidated statement of operations</t>
  </si>
  <si>
    <t xml:space="preserve">Implied Effective Tax Rate</t>
  </si>
  <si>
    <t xml:space="preserve">Tax Expense / Pretax Income; used as the Year-1 starting rate in the Phase 5 tax transition</t>
  </si>
  <si>
    <t xml:space="preserve">Phase 2 — Sources &amp; Uses</t>
  </si>
  <si>
    <t xml:space="preserve">Actual deal mechanics: primarily cash-funded; model focuses on cash opportunity cost rather than invented acquisition debt.</t>
  </si>
  <si>
    <t xml:space="preserve">Transaction Funding Bridge</t>
  </si>
  <si>
    <t xml:space="preserve">Type</t>
  </si>
  <si>
    <t xml:space="preserve">Source / Note</t>
  </si>
  <si>
    <t xml:space="preserve">Use</t>
  </si>
  <si>
    <t xml:space="preserve">Microsoft FY2024 10-K / Oct. 2023 10-Q</t>
  </si>
  <si>
    <t xml:space="preserve">Acquired cash</t>
  </si>
  <si>
    <t xml:space="preserve">Microsoft FY2024 10-K PPA</t>
  </si>
  <si>
    <t xml:space="preserve">Gross cash consideration</t>
  </si>
  <si>
    <t xml:space="preserve">Derived</t>
  </si>
  <si>
    <t xml:space="preserve">Net cash paid + acquired cash</t>
  </si>
  <si>
    <t xml:space="preserve">Purchase-accounting price</t>
  </si>
  <si>
    <t xml:space="preserve">Accounting value</t>
  </si>
  <si>
    <t xml:space="preserve">Difference vs. gross cash consideration</t>
  </si>
  <si>
    <t xml:space="preserve">Purchase-accounting / consideration difference; not assumed to be new debt</t>
  </si>
  <si>
    <t xml:space="preserve">Assumed liability</t>
  </si>
  <si>
    <t xml:space="preserve">Activision debt assumed; not acquisition-specific new financing</t>
  </si>
  <si>
    <t xml:space="preserve">Accretion / Dilution Financing Assumptions</t>
  </si>
  <si>
    <t xml:space="preserve">Assumption</t>
  </si>
  <si>
    <t xml:space="preserve">Treatment</t>
  </si>
  <si>
    <t xml:space="preserve">Source / Rationale</t>
  </si>
  <si>
    <t xml:space="preserve">Net cash deployed ($mm)</t>
  </si>
  <si>
    <t xml:space="preserve">Foregone interest income</t>
  </si>
  <si>
    <t xml:space="preserve">Linked to reported net cash payment</t>
  </si>
  <si>
    <t xml:space="preserve">Foregone cash yield</t>
  </si>
  <si>
    <t xml:space="preserve">Scenario input</t>
  </si>
  <si>
    <t xml:space="preserve">Illustrative base case; sensitivity tested in Phase 4</t>
  </si>
  <si>
    <t xml:space="preserve">Microsoft effective tax rate</t>
  </si>
  <si>
    <t xml:space="preserve">Tax-effects financing &amp; amortization</t>
  </si>
  <si>
    <t xml:space="preserve">FY2023 provision / pretax income</t>
  </si>
  <si>
    <t xml:space="preserve">New acquisition debt issued</t>
  </si>
  <si>
    <t xml:space="preserve">No incremental interest expense</t>
  </si>
  <si>
    <t xml:space="preserve">No acquisition-specific debt issuance assumed</t>
  </si>
  <si>
    <t xml:space="preserve">New shares issued for consideration</t>
  </si>
  <si>
    <t xml:space="preserve">No dilution from consideration</t>
  </si>
  <si>
    <t xml:space="preserve">$95/share all-cash transaction</t>
  </si>
  <si>
    <t xml:space="preserve">Opportunity Cost of Cash</t>
  </si>
  <si>
    <t xml:space="preserve">Calculation</t>
  </si>
  <si>
    <t xml:space="preserve">Formula Logic</t>
  </si>
  <si>
    <t xml:space="preserve">Comment</t>
  </si>
  <si>
    <t xml:space="preserve">Foregone pre-tax interest income</t>
  </si>
  <si>
    <t xml:space="preserve">Net cash deployed × foregone yield</t>
  </si>
  <si>
    <t xml:space="preserve">Primary financing cost in the model</t>
  </si>
  <si>
    <t xml:space="preserve">Tax shield / tax effect</t>
  </si>
  <si>
    <t xml:space="preserve">Foregone interest × tax rate</t>
  </si>
  <si>
    <t xml:space="preserve">Reduces after-tax EPS impact</t>
  </si>
  <si>
    <t xml:space="preserve">Foregone after-tax interest income</t>
  </si>
  <si>
    <t xml:space="preserve">Pre-tax interest × (1 − tax rate)</t>
  </si>
  <si>
    <t xml:space="preserve">Flows into Phase 3 EPS bridge</t>
  </si>
  <si>
    <t xml:space="preserve">Primary sources: https://www.sec.gov/Archives/edgar/data/789019/000095017024087843/msft-20240630.htm | https://www.sec.gov/Archives/edgar/data/789019/000095017023054855/msft-20230930.htm</t>
  </si>
  <si>
    <t xml:space="preserve">Phase 3 — Accretion / Dilution</t>
  </si>
  <si>
    <t xml:space="preserve">Pre-close standalone earnings plus transaction adjustments. No synergies are assumed in the base case; Phase 4 solves for breakeven.</t>
  </si>
  <si>
    <t xml:space="preserve">Purchase Accounting Amortization</t>
  </si>
  <si>
    <t xml:space="preserve">Acquired Intangible</t>
  </si>
  <si>
    <t xml:space="preserve">Fair Value ($mm)</t>
  </si>
  <si>
    <t xml:space="preserve">Weighted Avg. Life</t>
  </si>
  <si>
    <t xml:space="preserve">Annual Amortization ($mm)</t>
  </si>
  <si>
    <t xml:space="preserve">Marketing-related</t>
  </si>
  <si>
    <t xml:space="preserve">Technology-based</t>
  </si>
  <si>
    <t xml:space="preserve">Customer-related</t>
  </si>
  <si>
    <t xml:space="preserve">Total / blended</t>
  </si>
  <si>
    <t xml:space="preserve">EPS Bridge — No Synergies Base Case</t>
  </si>
  <si>
    <t xml:space="preserve">Per Share / %</t>
  </si>
  <si>
    <t xml:space="preserve">Source / Logic</t>
  </si>
  <si>
    <t xml:space="preserve">Microsoft standalone net income</t>
  </si>
  <si>
    <t xml:space="preserve">+ Activision standalone net income</t>
  </si>
  <si>
    <t xml:space="preserve">- Foregone after-tax interest income</t>
  </si>
  <si>
    <t xml:space="preserve">Phase 2</t>
  </si>
  <si>
    <t xml:space="preserve">- After-tax purchase accounting amortization</t>
  </si>
  <si>
    <t xml:space="preserve">Annual amortization × (1 − tax rate)</t>
  </si>
  <si>
    <t xml:space="preserve">+ After-tax synergies</t>
  </si>
  <si>
    <t xml:space="preserve">Base case assumes $0</t>
  </si>
  <si>
    <t xml:space="preserve">Pro forma net income</t>
  </si>
  <si>
    <t xml:space="preserve">Sum of above</t>
  </si>
  <si>
    <t xml:space="preserve">Microsoft diluted shares (mm)</t>
  </si>
  <si>
    <t xml:space="preserve">Reported FY2023 diluted weighted-average shares</t>
  </si>
  <si>
    <t xml:space="preserve">Pro forma diluted EPS</t>
  </si>
  <si>
    <t xml:space="preserve">Pro forma NI / diluted shares</t>
  </si>
  <si>
    <t xml:space="preserve">Microsoft standalone diluted EPS</t>
  </si>
  <si>
    <t xml:space="preserve">Reported FY2023 EPS</t>
  </si>
  <si>
    <t xml:space="preserve">EPS accretion / (dilution)</t>
  </si>
  <si>
    <t xml:space="preserve">Pro forma EPS / standalone EPS − 1</t>
  </si>
  <si>
    <t xml:space="preserve">Independent Check Against Microsoft's Reported Pro Forma Disclosure</t>
  </si>
  <si>
    <t xml:space="preserve">Microsoft Reported Pro Forma FY2023</t>
  </si>
  <si>
    <t xml:space="preserve">Our Base Case</t>
  </si>
  <si>
    <t xml:space="preserve">Net Income ($mm)</t>
  </si>
  <si>
    <t xml:space="preserve">Microsoft's unaudited pro forma assumes acquisition occurred July 1, 2022; useful benchmark, not expected to match our simplified pre-close bridge exactly.</t>
  </si>
  <si>
    <t xml:space="preserve">Reported pro forma from business-combination footnote</t>
  </si>
  <si>
    <t xml:space="preserve">Difference in EPS</t>
  </si>
  <si>
    <t xml:space="preserve">Our model vs. Microsoft reported pro forma</t>
  </si>
  <si>
    <t xml:space="preserve">Source: https://www.sec.gov/Archives/edgar/data/789019/000095017025100235/R35.htm</t>
  </si>
  <si>
    <t xml:space="preserve">Phase 4 — Synergy Breakeven</t>
  </si>
  <si>
    <t xml:space="preserve">Core question: how much annual pre-tax run-rate synergy is required for the transaction to become EPS-neutral under different opportunity costs of cash?</t>
  </si>
  <si>
    <t xml:space="preserve">Base-Case Breakeven</t>
  </si>
  <si>
    <t xml:space="preserve">Input / Output</t>
  </si>
  <si>
    <t xml:space="preserve">Units</t>
  </si>
  <si>
    <t xml:space="preserve">Logic</t>
  </si>
  <si>
    <t xml:space="preserve">Activision standalone net income</t>
  </si>
  <si>
    <t xml:space="preserve">$mm</t>
  </si>
  <si>
    <t xml:space="preserve">Standalone earnings contribution</t>
  </si>
  <si>
    <t xml:space="preserve">Annual purchase-accounting amortization</t>
  </si>
  <si>
    <t xml:space="preserve">From acquired intangible lives</t>
  </si>
  <si>
    <t xml:space="preserve">Phase 2 base assumption</t>
  </si>
  <si>
    <t xml:space="preserve">Required annual pre-tax synergies</t>
  </si>
  <si>
    <t xml:space="preserve">Solves to EPS-neutral</t>
  </si>
  <si>
    <t xml:space="preserve">Required synergies / Activision FY2022 revenue</t>
  </si>
  <si>
    <t xml:space="preserve">Scale check</t>
  </si>
  <si>
    <t xml:space="preserve">Breakeven Synergies by Foregone Cash Yield</t>
  </si>
  <si>
    <t xml:space="preserve">Cash Yield</t>
  </si>
  <si>
    <t xml:space="preserve">Required Synergies ($mm)</t>
  </si>
  <si>
    <t xml:space="preserve">EPS Sensitivity — Synergies vs. Cash Yield</t>
  </si>
  <si>
    <t xml:space="preserve">Annual Synergies ($mm)</t>
  </si>
  <si>
    <t xml:space="preserve">Base-case result: at a 4.0% foregone cash yield, the deal requires approximately $3.6B of annual pre-tax synergies to reach EPS neutrality. This is a model-derived hurdle, not management guidance.</t>
  </si>
  <si>
    <t xml:space="preserve">Phase 5 — Combined Pro Forma Income Statement (Starter)</t>
  </si>
  <si>
    <t xml:space="preserve">Simplified pro forma earnings view using pre-close standalone results and transaction adjustments. Base case assumes no synergies; breakeven case uses the Phase 4 EPS-neutral synergy requirement.</t>
  </si>
  <si>
    <t xml:space="preserve">Microsoft Standalone</t>
  </si>
  <si>
    <t xml:space="preserve">Activision Standalone</t>
  </si>
  <si>
    <t xml:space="preserve">Transaction Adjustments</t>
  </si>
  <si>
    <t xml:space="preserve">Pro Forma — No Synergies</t>
  </si>
  <si>
    <t xml:space="preserve">Pro Forma — Breakeven Synergies</t>
  </si>
  <si>
    <t xml:space="preserve">Notes</t>
  </si>
  <si>
    <t xml:space="preserve">Revenue ($mm)</t>
  </si>
  <si>
    <t xml:space="preserve">Historical standalone revenue; no revenue synergies assumed.</t>
  </si>
  <si>
    <t xml:space="preserve">Operating Income before PPA / Synergies ($mm)</t>
  </si>
  <si>
    <t xml:space="preserve">Sum of standalone operating income.</t>
  </si>
  <si>
    <t xml:space="preserve">Purchase Accounting Amortization ($mm)</t>
  </si>
  <si>
    <t xml:space="preserve">Annual amortization of acquired intangibles.</t>
  </si>
  <si>
    <t xml:space="preserve">Pre-Tax Synergies ($mm)</t>
  </si>
  <si>
    <t xml:space="preserve">Base = $0; breakeven from Phase 4.</t>
  </si>
  <si>
    <t xml:space="preserve">Adjusted Operating Income ($mm)</t>
  </si>
  <si>
    <t xml:space="preserve">Standalone operating income less PPA amortization plus synergies.</t>
  </si>
  <si>
    <t xml:space="preserve">Adjusted operating income / combined revenue.</t>
  </si>
  <si>
    <t xml:space="preserve">Standalone Net Income Contribution ($mm)</t>
  </si>
  <si>
    <t xml:space="preserve">Uses each company's reported pre-close net income.</t>
  </si>
  <si>
    <t xml:space="preserve">Foregone After-Tax Interest Income ($mm)</t>
  </si>
  <si>
    <t xml:space="preserve">Cash opportunity cost from Phase 2.</t>
  </si>
  <si>
    <t xml:space="preserve">After-Tax PPA Amortization ($mm)</t>
  </si>
  <si>
    <t xml:space="preserve">PPA amortization tax-effected at Microsoft FY2023 effective tax rate.</t>
  </si>
  <si>
    <t xml:space="preserve">After-Tax Synergies ($mm)</t>
  </si>
  <si>
    <t xml:space="preserve">Pre-tax synergy × (1 − tax rate).</t>
  </si>
  <si>
    <t xml:space="preserve">Pro Forma Net Income ($mm)</t>
  </si>
  <si>
    <t xml:space="preserve">Matches Phase 3 / Phase 4 earnings logic.</t>
  </si>
  <si>
    <t xml:space="preserve">Diluted Shares (mm)</t>
  </si>
  <si>
    <t xml:space="preserve">All-cash transaction; no new consideration shares issued.</t>
  </si>
  <si>
    <t xml:space="preserve">Pro Forma Diluted EPS ($)</t>
  </si>
  <si>
    <t xml:space="preserve">Pro forma net income / Microsoft diluted shares.</t>
  </si>
  <si>
    <t xml:space="preserve">EPS Accretion / (Dilution)</t>
  </si>
  <si>
    <t xml:space="preserve">Compared with Microsoft FY2023 standalone EPS.</t>
  </si>
  <si>
    <t xml:space="preserve">Phase 5 Checkpoint Interpretation</t>
  </si>
  <si>
    <t xml:space="preserve">Base case</t>
  </si>
  <si>
    <t xml:space="preserve">No synergies: should reproduce the Phase 3 dilution result.</t>
  </si>
  <si>
    <t xml:space="preserve">Breakeven case</t>
  </si>
  <si>
    <t xml:space="preserve">Uses the Phase 4 synergy requirement and should produce ~0.0% EPS accretion/dilution.</t>
  </si>
  <si>
    <t xml:space="preserve">Next build step</t>
  </si>
  <si>
    <t xml:space="preserve">Expand this starter into a fuller combined income statement with revenue/cost structure and a forecast period before Phase 6 balance sheet integration.</t>
  </si>
  <si>
    <t xml:space="preserve">5-Year Combined Pro Forma Forecast (Breakeven Synergies Case) — Rebuilt</t>
  </si>
  <si>
    <t xml:space="preserve">Rebuilt to fix two issues found in independent review: (1) the operating margin assumption now uses a genuinely pre-PPA blended margin, so amortization is subtracted exactly once, not twice; (2) foregone interest income is now modeled pre-tax and flows through the standard tax calculation below, rather than double-tax-effecting an already-after-tax figure. Microsoft and Activision now have separate, explicitly labeled growth assumptions.</t>
  </si>
  <si>
    <t xml:space="preserve">Forecast Assumptions</t>
  </si>
  <si>
    <t xml:space="preserve">Microsoft standalone revenue growth (annual)</t>
  </si>
  <si>
    <t xml:space="preserve">Model assumption — broadly consistent with recent cloud/AI-driven growth trend, not disclosed guidance</t>
  </si>
  <si>
    <t xml:space="preserve">Activision standalone revenue growth (annual)</t>
  </si>
  <si>
    <t xml:space="preserve">Model assumption, deliberately more conservative than Microsoft — Activision FY2022 revenue actually declined 14.5% YoY; assumes post-acquisition stabilization, not a return to high growth</t>
  </si>
  <si>
    <t xml:space="preserve">Pre-PPA blended operating margin</t>
  </si>
  <si>
    <t xml:space="preserve">(MSFT standalone OpInc + ATVI standalone OpInc) / (MSFT standalone Rev + ATVI standalone Rev). Held flat across the forecast - genuinely pre-PPA, unlike the prior version.</t>
  </si>
  <si>
    <t xml:space="preserve">Tax rate (flat)</t>
  </si>
  <si>
    <t xml:space="preserve">Microsoft FY2023A effective rate, reused for consistency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</si>
  <si>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</si>
  <si>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</si>
  <si>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</si>
  <si>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</si>
  <si>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</si>
  <si>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Microsoft Revenue ($mm)</t>
  </si>
  <si>
    <t xml:space="preserve">Activision Revenue ($mm)</t>
  </si>
  <si>
    <t xml:space="preserve">Combined Revenue ($mm)</t>
  </si>
  <si>
    <t xml:space="preserve">Operating Income before PPA/Synergies ($mm)</t>
  </si>
  <si>
    <t xml:space="preserve">Now genuinely pre-PPA (~41.1%), not the old post-PPA ~39.7% figure</t>
  </si>
  <si>
    <t xml:space="preserve">Amortization Schedule (by intangible category)</t>
  </si>
  <si>
    <t xml:space="preserve">Marketing-related (24-yr life)</t>
  </si>
  <si>
    <t xml:space="preserve">Technology-based (4-yr life, fully amortized after Yr 4)</t>
  </si>
  <si>
    <t xml:space="preserve">Customer-related (4-yr life, fully amortized after Yr 4)</t>
  </si>
  <si>
    <t xml:space="preserve">Total Amortization ($mm, stored negative)</t>
  </si>
  <si>
    <t xml:space="preserve">Synergy Ramp</t>
  </si>
  <si>
    <t xml:space="preserve">% of full run-rate synergies achieved</t>
  </si>
  <si>
    <t xml:space="preserve">Illustrative ramp; synergies rarely materialize instantly</t>
  </si>
  <si>
    <t xml:space="preserve">Full run-rate = $3.637B breakeven figure from Phase 4</t>
  </si>
  <si>
    <t xml:space="preserve">Net Income Build — Segment-Specific Tax Treatment</t>
  </si>
  <si>
    <t xml:space="preserve">Microsoft and Activision earnings are taxed at their own effective rates rather than a single blended rate, so Year 1 reconciles exactly to the Phase 3 bridge. Activision's rate transitions toward Microsoft's consolidated rate over the forecast; transaction adjustments (foregone interest, PPA amortization, synergies) are taxed at Microsoft's rate throughout, since they are deal-specific items running through Microsoft's own tax structure post-close.</t>
  </si>
  <si>
    <t xml:space="preserve">Activision Effective Tax Rate (transitioning)</t>
  </si>
  <si>
    <t xml:space="preserve">Yr1 = exact reported rate (13.245%). Yr2 = labeled model assumption (intermediate step). Yr3+ = Microsoft's consolidated rate.</t>
  </si>
  <si>
    <t xml:space="preserve">Microsoft Net Income ($mm)</t>
  </si>
  <si>
    <t xml:space="preserve">Yr1 = exact reported figure. Yrs2-5 scale at Microsoft's own revenue growth rate, implicitly holding its own effective tax/net margin constant.</t>
  </si>
  <si>
    <t xml:space="preserve">Activision Pretax Income ($mm)</t>
  </si>
  <si>
    <t xml:space="preserve">Yr1 = exact reported figure. Yrs2-5 scale at Activision's own revenue growth rate.</t>
  </si>
  <si>
    <t xml:space="preserve">Activision Net Income ($mm)</t>
  </si>
  <si>
    <t xml:space="preserve">Transaction Adjustments (taxed at Microsoft's rate)</t>
  </si>
  <si>
    <t xml:space="preserve">Foregone Pre-Tax Interest Income ($mm)</t>
  </si>
  <si>
    <t xml:space="preserve">After-Tax Foregone Interest ($mm)</t>
  </si>
  <si>
    <t xml:space="preserve">References the Total Amortization row above (row 47, already negative)</t>
  </si>
  <si>
    <t xml:space="preserve">References the Pre-Tax Synergies row above (row 51)</t>
  </si>
  <si>
    <t xml:space="preserve">Combined Pro Forma Net Income ($mm)</t>
  </si>
  <si>
    <t xml:space="preserve">Standalone Microsoft Counterfactual (No Deal)</t>
  </si>
  <si>
    <t xml:space="preserve">Note: reuses the Microsoft Net Income row above directly — it is already deal-independent by construction, so no separate calculation is needed.</t>
  </si>
  <si>
    <t xml:space="preserve">Microsoft Standalone EPS ($)</t>
  </si>
  <si>
    <t xml:space="preserve">EPS Accretion / (Dilution) vs. Standalone Counterfactual</t>
  </si>
  <si>
    <t xml:space="preserve">Year-1 Reconciliation Check vs. Phase 3 Base Case (0% Synergies)</t>
  </si>
  <si>
    <t xml:space="preserve">Check</t>
  </si>
  <si>
    <t xml:space="preserve">Phase 5 (Year 1, 0% synergy)</t>
  </si>
  <si>
    <t xml:space="preserve">Phase 3 Base Case</t>
  </si>
  <si>
    <t xml:space="preserve">Difference</t>
  </si>
  <si>
    <t xml:space="preserve">Reconciliation check is self-contained: it computes Year-1 Microsoft and Activision net income plus after-tax transaction adjustments at 0% synergies (not referencing whatever the live synergy ramp assumption is set to), so it remains a valid check regardless of the ramp schedule above. All three differences should read $0 / $0.00 / 0.000%, or immaterial rounding only.</t>
  </si>
  <si>
    <t xml:space="preserve">48.3% synergy/revenue finding (unchanged, retained): required breakeven synergies of $3.637B equal roughly 48.3% of Activision's entire FY2022 revenue base — still one of the project's strongest findings, unaffected by this fix.</t>
  </si>
  <si>
    <t xml:space="preserve">Combined Pro Forma Balance Sheet — Acquisition Date</t>
  </si>
  <si>
    <t xml:space="preserve">Microsoft standalone (June 30, 2023) + purchase-accounting adjustments per Microsoft's FINAL Activision purchase price allocation (FY2025 Form 10-K, Note 7 — completed as of September 30, 2024, not the FY2024 preliminary figures).</t>
  </si>
  <si>
    <t xml:space="preserve">1. Microsoft Standalone Balance Sheet (June 30, 2023)</t>
  </si>
  <si>
    <t xml:space="preserve">Line Item</t>
  </si>
  <si>
    <t xml:space="preserve">Cash &amp; Equivalents</t>
  </si>
  <si>
    <t xml:space="preserve">stockanalysis.com (Fiscal.ai), sourced from Microsoft FY2023 10-K</t>
  </si>
  <si>
    <t xml:space="preserve">Short-Term Investments</t>
  </si>
  <si>
    <t xml:space="preserve">Accounts Receivable</t>
  </si>
  <si>
    <t xml:space="preserve">Inventory</t>
  </si>
  <si>
    <t xml:space="preserve">Other Current Assets</t>
  </si>
  <si>
    <t xml:space="preserve">Total Current Assets</t>
  </si>
  <si>
    <t xml:space="preserve">Net PP&amp;E</t>
  </si>
  <si>
    <t xml:space="preserve">Other Intangible Assets</t>
  </si>
  <si>
    <t xml:space="preserve">Long-Term Investments</t>
  </si>
  <si>
    <t xml:space="preserve">Other Long-Term Assets</t>
  </si>
  <si>
    <t xml:space="preserve">Total Assets</t>
  </si>
  <si>
    <t xml:space="preserve">Accounts Payable</t>
  </si>
  <si>
    <t xml:space="preserve">Accrued Expenses</t>
  </si>
  <si>
    <t xml:space="preserve">Short-Term Debt</t>
  </si>
  <si>
    <t xml:space="preserve">Unearned Revenue</t>
  </si>
  <si>
    <t xml:space="preserve">Other Current Liabilities</t>
  </si>
  <si>
    <t xml:space="preserve">Total Current Liabilities</t>
  </si>
  <si>
    <t xml:space="preserve">Long-Term Debt</t>
  </si>
  <si>
    <t xml:space="preserve">Long-Term Leases</t>
  </si>
  <si>
    <t xml:space="preserve">Other Long-Term Liabilities</t>
  </si>
  <si>
    <t xml:space="preserve">Total Liabilities</t>
  </si>
  <si>
    <t xml:space="preserve">Total Shareholders' Equity</t>
  </si>
  <si>
    <t xml:space="preserve">Common stock/APIC + AOCI + Retained Earnings, per Microsoft FY2023 10-K</t>
  </si>
  <si>
    <t xml:space="preserve">Check: Assets − Liabilities − Equity</t>
  </si>
  <si>
    <t xml:space="preserve">2. Activision Standalone Balance Sheet (December 31, 2022) — Reference Only</t>
  </si>
  <si>
    <t xml:space="preserve">Shown for reference/comparison. The pro forma combination below does NOT add these book-value lines directly — it uses Microsoft's own disclosed fair-value purchase price allocation (Section 3), since that is what Microsoft actually recorded, and it consolidates most of Activision's individual asset/liability lines into single 'Other assets' / 'Other liabilities' fair-value figures.</t>
  </si>
  <si>
    <t xml:space="preserve">Cash &amp; Cash Equivalents</t>
  </si>
  <si>
    <t xml:space="preserve">Activision Blizzard Q4/FY2022 earnings release exhibit, consolidated balance sheet</t>
  </si>
  <si>
    <t xml:space="preserve">Held-to-Maturity Investments</t>
  </si>
  <si>
    <t xml:space="preserve">Accounts Receivable, net</t>
  </si>
  <si>
    <t xml:space="preserve">Software Development (non-current)</t>
  </si>
  <si>
    <t xml:space="preserve">PP&amp;E, net</t>
  </si>
  <si>
    <t xml:space="preserve">Deferred Income Taxes, net</t>
  </si>
  <si>
    <t xml:space="preserve">Other Assets</t>
  </si>
  <si>
    <t xml:space="preserve">Intangible Assets, net</t>
  </si>
  <si>
    <t xml:space="preserve">Goodwill (Activision's own, pre-deal)</t>
  </si>
  <si>
    <t xml:space="preserve">Deferred Revenues</t>
  </si>
  <si>
    <t xml:space="preserve">Accrued Expenses and Other Liabilities</t>
  </si>
  <si>
    <t xml:space="preserve">Long-Term Debt, net</t>
  </si>
  <si>
    <t xml:space="preserve">Other Liabilities</t>
  </si>
  <si>
    <t xml:space="preserve">Total Shareholders' Equity (Activision's own, pre-deal)</t>
  </si>
  <si>
    <t xml:space="preserve">Activision Blizzard Q4/FY2022 earnings release exhibit</t>
  </si>
  <si>
    <t xml:space="preserve">3. Transaction &amp; Purchase-Accounting Adjustments — FINAL Allocation</t>
  </si>
  <si>
    <t xml:space="preserve">Source: Microsoft FY2025 Form 10-K, Note 7 — Business Combinations. Explicitly the FINAL allocation ("completed as of September 30, 2024"), not the FY2024 preliminary figures. Differs slightly from the preliminary table used elsewhere in this workbook: Goodwill $51,001mm (vs. preliminary $50,969mm), Other assets $2,503mm (vs. $2,501mm), Long-term income taxes $(1,946)mm (vs. $(1,914)mm), Deferred income taxes $(4,676)mm (vs. $(4,677)mm), Other liabilities $(3,620)mm (vs. $(3,617)mm). Total purchase price and the intangible asset breakdown (marketing/technology/customer-related) are unchanged between preliminary and final.</t>
  </si>
  <si>
    <t xml:space="preserve">Adjustment</t>
  </si>
  <si>
    <t xml:space="preserve">+/−</t>
  </si>
  <si>
    <t xml:space="preserve">Cash consideration funded from Microsoft liquid assets</t>
  </si>
  <si>
    <t xml:space="preserve">Asset −</t>
  </si>
  <si>
    <t xml:space="preserve">Gross cash consideration implied by $61,800mm net cash paid + $12,976mm cash acquired = $74,776mm. Section 4 allocates this reduction to short-term investments first as a transparent model presentation assumption.</t>
  </si>
  <si>
    <t xml:space="preserve">Activision cash acquired</t>
  </si>
  <si>
    <t xml:space="preserve">Asset +</t>
  </si>
  <si>
    <t xml:space="preserve">Microsoft FY2025 10-K, Note 7 (final PPA)</t>
  </si>
  <si>
    <t xml:space="preserve">Microsoft FY2025 10-K, Note 7 (final; preliminary was $50,969mm)</t>
  </si>
  <si>
    <t xml:space="preserve">Identifiable intangible assets acquired</t>
  </si>
  <si>
    <t xml:space="preserve">Microsoft FY2025 10-K, Note 7. Marketing $11,619mm/24yr, Technology $9,689mm/4yr, Customer $661mm/4yr — unchanged from preliminary</t>
  </si>
  <si>
    <t xml:space="preserve">Other assets acquired</t>
  </si>
  <si>
    <t xml:space="preserve">Microsoft FY2025 10-K, Note 7 (final). Consolidates Activision's AR, PP&amp;E, and other assets at fair value into one disclosed line</t>
  </si>
  <si>
    <t xml:space="preserve">Assumed Activision long-term debt</t>
  </si>
  <si>
    <t xml:space="preserve">Liability +</t>
  </si>
  <si>
    <t xml:space="preserve">Microsoft FY2025 10-K, Note 7 (unchanged from preliminary)</t>
  </si>
  <si>
    <t xml:space="preserve">Assumed long-term income taxes</t>
  </si>
  <si>
    <t xml:space="preserve">Microsoft FY2025 10-K, Note 7 (final; preliminary was $(1,914)mm)</t>
  </si>
  <si>
    <t xml:space="preserve">Assumed deferred income taxes</t>
  </si>
  <si>
    <t xml:space="preserve">Microsoft FY2025 10-K, Note 7 (final; preliminary was $(4,677)mm)</t>
  </si>
  <si>
    <t xml:space="preserve">Assumed other liabilities</t>
  </si>
  <si>
    <t xml:space="preserve">Microsoft FY2025 10-K, Note 7 (final; preliminary was $(3,617)mm)</t>
  </si>
  <si>
    <t xml:space="preserve">Other / non-cash purchase consideration (unresolved)</t>
  </si>
  <si>
    <t xml:space="preserve">Equity/APIC + (model assumption)</t>
  </si>
  <si>
    <t xml:space="preserve">Residual between $75,408mm total accounting purchase price and $74,776mm implied cash consideration. Microsoft describes the deal as 'primarily' cash (FY2025 10-K Note 7: https://www.sec.gov/Archives/edgar/data/789019/000095017025100235/msft-20250630.htm). Microsoft's closing 8-K confirms certain unvested Activision awards were assumed/converted into Microsoft awards: https://www.sec.gov/Archives/edgar/data/789019/000119312523255762/d537928d8k.htm. Exact composition of this $632mm residual is not separately disclosed; modeled in equity/APIC solely for pro forma presentation pending confirmation.</t>
  </si>
  <si>
    <t xml:space="preserve">4. Combined Pro Forma Balance Sheet — Acquisition Date</t>
  </si>
  <si>
    <t xml:space="preserve">Microsoft standalone (Section 1) + transaction adjustments (Section 3). No plug — every line is either sourced directly or a formula.</t>
  </si>
  <si>
    <t xml:space="preserve">Pro Forma Amount ($mm)</t>
  </si>
  <si>
    <t xml:space="preserve">Microsoft standalone cash plus Activision cash acquired; acquisition cash consideration is modeled as funded from short-term investments first.</t>
  </si>
  <si>
    <t xml:space="preserve">Short-Term Investments + Other Current Assets</t>
  </si>
  <si>
    <t xml:space="preserve">Microsoft ST investments less $74,776mm cash consideration, plus AR + Inventory + Other Current Assets. Funding waterfall is a model presentation assumption, not a disclosed treasury allocation.</t>
  </si>
  <si>
    <t xml:space="preserve">Net PP&amp;E (unchanged from Microsoft standalone)</t>
  </si>
  <si>
    <t xml:space="preserve">Microsoft's own pre-existing goodwill + new Activision-related goodwill</t>
  </si>
  <si>
    <t xml:space="preserve">Intangible Assets</t>
  </si>
  <si>
    <t xml:space="preserve">Microsoft's own pre-existing intangibles + newly acquired Activision intangibles</t>
  </si>
  <si>
    <t xml:space="preserve">Microsoft LT investments + other LT assets, plus Activision other assets acquired at fair value</t>
  </si>
  <si>
    <t xml:space="preserve">Total Current Liabilities (unchanged from Microsoft standalone)</t>
  </si>
  <si>
    <t xml:space="preserve">Microsoft standalone LT debt plus assumed Activision debt (B72 is stored negative, so subtracting adds it)</t>
  </si>
  <si>
    <t xml:space="preserve">Microsoft LT leases + other LT liabilities, plus assumed Activision income taxes, deferred taxes, and other liabilities at fair value</t>
  </si>
  <si>
    <t xml:space="preserve">Microsoft standalone equity plus $632mm unresolved non-cash consideration modeled in APIC for pro forma presentation; exact composition remains unconfirmed.</t>
  </si>
  <si>
    <t xml:space="preserve">Total Liabilities &amp; Equity</t>
  </si>
  <si>
    <t xml:space="preserve">BALANCE CHECK: Total Assets − Total Liabilities &amp; Equity</t>
  </si>
  <si>
    <t xml:space="preserve">LIQUIDITY CHECK: Pro Forma Cash + ST Investments</t>
  </si>
  <si>
    <t xml:space="preserve">Should equal Microsoft FY2023 cash + ST investments less the $61,800mm net cash deployed.</t>
  </si>
  <si>
    <t xml:space="preserve">Net Liquidity Used vs. Microsoft Standalone</t>
  </si>
  <si>
    <t xml:space="preserve">Permanent check against Phase 2 net cash deployed assumption.</t>
  </si>
  <si>
    <t xml:space="preserve">IMPORTANT — funding treatment update: the pro forma balance sheet now uses $74,776mm of implied gross cash consideration ($61,800mm net cash paid + $12,976mm acquired cash), funded from Microsoft's cash + short-term-investment pool rather than forcing the entire $75,408mm accounting purchase price through the cash line. The remaining $632mm is shown explicitly as unresolved non-cash consideration and modeled in equity/APIC for presentation only. Microsoft's filings describe the consideration as 'primarily' cash, and the merger 8-K confirms certain unvested Activision awards were converted into Microsoft awards, but the exact composition of the $632mm residual is not separately disclosed. Phase 2's $61,800mm net-cash base therefore remains the appropriate input for foregone-interest analysis.</t>
  </si>
  <si>
    <t xml:space="preserve">Combined Pro Forma Cash Flow Statement (FY2027E–FY2031E)</t>
  </si>
  <si>
    <t xml:space="preserve">Linked to the Phase 5 income statement (Combined Pro Forma Net Income) and the Phase 6 opening balance sheet (beginning cash position). D&amp;A, stock-based compensation, capex, dividends, and buybacks use Microsoft's actual FY2023 amounts as the sourced base, grown at the combined revenue growth rate used elsewhere in this model — not fabricated figures.</t>
  </si>
  <si>
    <t xml:space="preserve">Assumptions</t>
  </si>
  <si>
    <t xml:space="preserve">Microsoft D&amp;A, FY2023A base ($mm)</t>
  </si>
  <si>
    <t xml:space="preserve">Microsoft FY2023 10-K cash flow statement ("Depreciation, amortization, and other")</t>
  </si>
  <si>
    <t xml:space="preserve">Microsoft stock-based compensation, FY2023A base ($mm)</t>
  </si>
  <si>
    <t xml:space="preserve">Microsoft FY2023 10-K cash flow statement</t>
  </si>
  <si>
    <t xml:space="preserve">Microsoft capex, FY2023A base ($mm)</t>
  </si>
  <si>
    <t xml:space="preserve">Microsoft FY2023 10-K cash flow statement ("Additions to property and equipment")</t>
  </si>
  <si>
    <t xml:space="preserve">Microsoft dividends paid, FY2023A base ($mm)</t>
  </si>
  <si>
    <t xml:space="preserve">Dividend growth rate (annual, assumed)</t>
  </si>
  <si>
    <t xml:space="preserve">Model assumption — roughly Microsoft's recent historical per-share dividend growth pace, not disclosed guidance</t>
  </si>
  <si>
    <t xml:space="preserve">Microsoft share repurchases, FY2023A base ($mm)</t>
  </si>
  <si>
    <t xml:space="preserve">Microsoft FY2023 10-K cash flow statement ("Common stock repurchased"); held flat across the forecast, not grown</t>
  </si>
  <si>
    <t xml:space="preserve">Microsoft debt repayment, FY2023A base ($mm)</t>
  </si>
  <si>
    <t xml:space="preserve">Microsoft FY2023 10-K cash flow statement; held flat, consistent with Phase 2's no-major-new-acquisition-debt finding</t>
  </si>
  <si>
    <t xml:space="preserve">Working capital drag (% of incremental revenue)</t>
  </si>
  <si>
    <t xml:space="preserve">Simplified model assumption. Phase 6 built a single acquisition-date balance sheet snapshot, not a 5-year forecasted one, so year-over-year working capital changes are estimated rather than pulled from a multi-year balance sheet.</t>
  </si>
  <si>
    <t xml:space="preserve">Cash Flow from Operations</t>
  </si>
  <si>
    <t xml:space="preserve">Pro Forma Net Income</t>
  </si>
  <si>
    <t xml:space="preserve">+ PPA Amortization Add-back (non-cash)</t>
  </si>
  <si>
    <t xml:space="preserve">Row 47 is stored negative; negating it adds back the non-cash expense</t>
  </si>
  <si>
    <t xml:space="preserve">+ Microsoft D&amp;A (grown with revenue)</t>
  </si>
  <si>
    <t xml:space="preserve">Scales the real FY2023A base by combined revenue growth (row 40 above)</t>
  </si>
  <si>
    <t xml:space="preserve">+ Stock-Based Compensation (grown with revenue)</t>
  </si>
  <si>
    <t xml:space="preserve">− Working Capital Drag</t>
  </si>
  <si>
    <t xml:space="preserve">Simplified: 3% of incremental revenue vs. the prior year, consuming cash as the combined business grows</t>
  </si>
  <si>
    <t xml:space="preserve">Cash Flow from Investing</t>
  </si>
  <si>
    <t xml:space="preserve">− Capital Expenditures (grown with revenue)</t>
  </si>
  <si>
    <t xml:space="preserve">The Activision acquisition itself is already reflected in the Phase 6 opening balance sheet (t=0) — no new acquisition cash flow is modeled here for years 1-5</t>
  </si>
  <si>
    <t xml:space="preserve">Cash Flow from Financing</t>
  </si>
  <si>
    <t xml:space="preserve">− Dividends Paid (grown at assumed rate)</t>
  </si>
  <si>
    <t xml:space="preserve">− Share Repurchases (held flat)</t>
  </si>
  <si>
    <t xml:space="preserve">− Debt Repayment (held flat)</t>
  </si>
  <si>
    <t xml:space="preserve">Cash Reconciliation</t>
  </si>
  <si>
    <t xml:space="preserve">Net Change in Cash</t>
  </si>
  <si>
    <t xml:space="preserve">Beginning Cash</t>
  </si>
  <si>
    <t xml:space="preserve">Year 1 links directly to the Phase 6 opening pro forma cash + ST investments position</t>
  </si>
  <si>
    <t xml:space="preserve">Ending Cash</t>
  </si>
  <si>
    <t xml:space="preserve">Centerpiece: Years to Rebuild Deployed Liquidity</t>
  </si>
  <si>
    <t xml:space="preserve">Microsoft deployed $61.8B of liquidity to fund the Activision acquisition. Rather than model a leveraged-buyout-style debt paydown story that this deal never was, the relevant question is how quickly ordinary post-close cash generation replenishes that deployed liquidity, after continuing to fund capex, dividends, and buybacks at real, sourced levels.</t>
  </si>
  <si>
    <t xml:space="preserve">Cumulative Net Change in Cash Since Close</t>
  </si>
  <si>
    <t xml:space="preserve">Deployed Liquidity Target ($mm)</t>
  </si>
  <si>
    <t xml:space="preserve">Links directly to the $61.8B net cash deployed figure from Phase 2</t>
  </si>
  <si>
    <t xml:space="preserve">% of Deployed Liquidity Rebuilt</t>
  </si>
  <si>
    <t xml:space="preserve">Years to Rebuild $61.8B of Deployed Liquidity</t>
  </si>
  <si>
    <t xml:space="preserve">Fully formula-driven interpolation — identifies which year crosses the target and interpolates within it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</si>
</sst>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.00"/>
    <numFmt numFmtId="166" formatCode="0.0%"/>
    <numFmt numFmtId="167" formatCode="\$#,##0;&quot;($&quot;#,##0\);\-"/>
    <numFmt numFmtId="168" formatCode="#,##0"/>
    <numFmt numFmtId="169" formatCode="#,##0.0;[RED]\(#,##0.0\);\-"/>
    <numFmt numFmtId="170" formatCode="0.0%;[RED]\(0.0%\);\-"/>
    <numFmt numFmtId="171" formatCode="0.000%"/>
    <numFmt numFmtId="172" formatCode="\$#,##0;[RED]&quot;($&quot;#,##0\);\-"/>
    <numFmt numFmtId="173" formatCode="#,##0;[RED]\(#,##0\);\-"/>
    <numFmt numFmtId="174" formatCode="General"/>
    <numFmt numFmtId="175" formatCode="\$0.00;[RED]&quot;($&quot;0.00\);\-"/>
    <numFmt numFmtId="176" formatCode="0.00;[RED]\(0.00\);\-"/>
    <numFmt numFmtId="177" formatCode="\$#,##0.0000"/>
    <numFmt numFmtId="178" formatCode="0.00%"/>
    <numFmt numFmtId="179" formatCode="0.00"/>
  </numFmts>
  <fonts count="3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203B2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F5D3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6"/>
      <color rgb="FF2F5D3A"/>
      <name val="Calibri"/>
      <family val="0"/>
      <charset val="1"/>
    </font>
    <font>
      <i val="true"/>
      <sz val="11"/>
      <color rgb="FF6B6B6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9"/>
      <color rgb="FF6B6B6B"/>
      <name val="Calibri"/>
      <family val="0"/>
      <charset val="1"/>
    </font>
    <font>
      <b val="true"/>
      <sz val="11"/>
      <color rgb="FF274E33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339"/>
        <bgColor rgb="FF274E33"/>
      </patternFill>
    </fill>
    <fill>
      <patternFill patternType="solid">
        <fgColor rgb="FFF2F2F2"/>
        <bgColor rgb="FFEAF1EC"/>
      </patternFill>
    </fill>
    <fill>
      <patternFill patternType="solid">
        <fgColor rgb="FF2F5D3A"/>
        <bgColor rgb="FF2E5339"/>
      </patternFill>
    </fill>
    <fill>
      <patternFill patternType="solid">
        <fgColor rgb="FFEAF1EC"/>
        <bgColor rgb="FFF2F2F2"/>
      </patternFill>
    </fill>
    <fill>
      <patternFill patternType="solid">
        <fgColor rgb="FF17365D"/>
        <bgColor rgb="FF203B29"/>
      </patternFill>
    </fill>
    <fill>
      <patternFill patternType="solid">
        <fgColor rgb="FFFFF2CC"/>
        <bgColor rgb="FFF2F2F2"/>
      </patternFill>
    </fill>
    <fill>
      <patternFill patternType="solid">
        <fgColor rgb="FFE2EAF3"/>
        <bgColor rgb="FFEAF1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7F8C8D"/>
      </top>
      <bottom/>
      <diagonal/>
    </border>
    <border diagonalUp="false" diagonalDown="false">
      <left/>
      <right/>
      <top/>
      <bottom style="thin">
        <color rgb="FF7F8C8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2" fontId="2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2" fontId="1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0" fontId="2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3" fontId="2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4" fontId="1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2" fontId="2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5" fontId="1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5" fontId="2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5" fontId="2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3" fontId="2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3" fontId="1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2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5" fillId="6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7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17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6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6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8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2F5D3A"/>
      <rgbColor rgb="FFCCCCCC"/>
      <rgbColor rgb="FF7F8C8D"/>
      <rgbColor rgb="FF9999FF"/>
      <rgbColor rgb="FF993366"/>
      <rgbColor rgb="FFFFF2CC"/>
      <rgbColor rgb="FFE2EA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EC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7365D"/>
      <rgbColor rgb="FF339966"/>
      <rgbColor rgb="FF2E5339"/>
      <rgbColor rgb="FF274E33"/>
      <rgbColor rgb="FF993300"/>
      <rgbColor rgb="FF993366"/>
      <rgbColor rgb="FF555555"/>
      <rgbColor rgb="FF203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30" hidden="false" customHeight="true" outlineLevel="0" collapsed="false">
      <c r="A4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5" t="s">
        <v>5</v>
      </c>
    </row>
    <row r="9" customFormat="false" ht="15" hidden="false" customHeight="true" outlineLevel="0" collapsed="false">
      <c r="A9" s="5" t="s">
        <v>6</v>
      </c>
    </row>
    <row r="10" customFormat="false" ht="15" hidden="false" customHeight="true" outlineLevel="0" collapsed="false">
      <c r="A10" s="6" t="s">
        <v>7</v>
      </c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7" t="s">
        <v>9</v>
      </c>
    </row>
    <row r="13" customFormat="false" ht="15" hidden="false" customHeight="true" outlineLevel="0" collapsed="false">
      <c r="A13" s="7" t="s">
        <v>10</v>
      </c>
    </row>
    <row r="14" customFormat="false" ht="15" hidden="false" customHeight="true" outlineLevel="0" collapsed="false">
      <c r="A14" s="7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8" t="s">
        <v>13</v>
      </c>
      <c r="B17" s="7" t="s">
        <v>14</v>
      </c>
    </row>
    <row r="18" customFormat="false" ht="15" hidden="false" customHeight="true" outlineLevel="0" collapsed="false">
      <c r="A18" s="9" t="s">
        <v>15</v>
      </c>
      <c r="B18" s="7" t="s">
        <v>16</v>
      </c>
    </row>
    <row r="19" customFormat="false" ht="15" hidden="false" customHeight="true" outlineLevel="0" collapsed="false">
      <c r="A19" s="10" t="s">
        <v>17</v>
      </c>
      <c r="B19" s="7" t="s">
        <v>18</v>
      </c>
    </row>
    <row r="21" customFormat="false" ht="30" hidden="false" customHeight="true" outlineLevel="0" collapsed="false">
      <c r="A21" s="1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20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20</v>
      </c>
    </row>
    <row r="3" customFormat="false" ht="15" hidden="false" customHeight="true" outlineLevel="0" collapsed="false">
      <c r="A3" s="12" t="s">
        <v>21</v>
      </c>
      <c r="B3" s="12" t="s">
        <v>22</v>
      </c>
      <c r="C3" s="12" t="s">
        <v>23</v>
      </c>
    </row>
    <row r="4" customFormat="false" ht="15" hidden="false" customHeight="true" outlineLevel="0" collapsed="false">
      <c r="A4" s="13" t="s">
        <v>24</v>
      </c>
      <c r="B4" s="14" t="s">
        <v>25</v>
      </c>
      <c r="C4" s="15" t="s">
        <v>26</v>
      </c>
    </row>
    <row r="5" customFormat="false" ht="15" hidden="false" customHeight="true" outlineLevel="0" collapsed="false">
      <c r="A5" s="13" t="s">
        <v>27</v>
      </c>
      <c r="B5" s="14" t="s">
        <v>28</v>
      </c>
      <c r="C5" s="15" t="s">
        <v>29</v>
      </c>
    </row>
    <row r="6" customFormat="false" ht="15" hidden="false" customHeight="true" outlineLevel="0" collapsed="false">
      <c r="A6" s="13" t="s">
        <v>30</v>
      </c>
      <c r="B6" s="16" t="n">
        <v>95</v>
      </c>
      <c r="C6" s="15" t="s">
        <v>31</v>
      </c>
    </row>
    <row r="7" customFormat="false" ht="15" hidden="false" customHeight="true" outlineLevel="0" collapsed="false">
      <c r="A7" s="13" t="s">
        <v>32</v>
      </c>
      <c r="B7" s="16" t="n">
        <v>65.39</v>
      </c>
      <c r="C7" s="15" t="s">
        <v>33</v>
      </c>
    </row>
    <row r="8" customFormat="false" ht="15" hidden="false" customHeight="true" outlineLevel="0" collapsed="false">
      <c r="A8" s="17" t="s">
        <v>34</v>
      </c>
      <c r="B8" s="18" t="n">
        <f aca="false">B6/B7-1</f>
        <v>0.452821532344395</v>
      </c>
    </row>
    <row r="10" customFormat="false" ht="15" hidden="false" customHeight="true" outlineLevel="0" collapsed="false">
      <c r="A10" s="3" t="s">
        <v>35</v>
      </c>
    </row>
    <row r="11" customFormat="false" ht="15" hidden="false" customHeight="true" outlineLevel="0" collapsed="false">
      <c r="A11" s="12" t="s">
        <v>36</v>
      </c>
      <c r="B11" s="12" t="s">
        <v>37</v>
      </c>
      <c r="C11" s="12" t="s">
        <v>38</v>
      </c>
    </row>
    <row r="12" customFormat="false" ht="15" hidden="false" customHeight="true" outlineLevel="0" collapsed="false">
      <c r="A12" s="13" t="s">
        <v>39</v>
      </c>
      <c r="B12" s="19" t="n">
        <v>68700</v>
      </c>
      <c r="C12" s="15" t="s">
        <v>40</v>
      </c>
    </row>
    <row r="13" customFormat="false" ht="15" hidden="false" customHeight="true" outlineLevel="0" collapsed="false">
      <c r="A13" s="13" t="s">
        <v>41</v>
      </c>
      <c r="B13" s="19" t="n">
        <v>75408</v>
      </c>
      <c r="C13" s="15" t="s">
        <v>42</v>
      </c>
    </row>
    <row r="14" customFormat="false" ht="15" hidden="false" customHeight="true" outlineLevel="0" collapsed="false">
      <c r="A14" s="13" t="s">
        <v>43</v>
      </c>
      <c r="B14" s="19" t="n">
        <v>12976</v>
      </c>
      <c r="C14" s="15" t="s">
        <v>44</v>
      </c>
    </row>
    <row r="15" customFormat="false" ht="15" hidden="false" customHeight="true" outlineLevel="0" collapsed="false">
      <c r="A15" s="13" t="s">
        <v>45</v>
      </c>
      <c r="B15" s="19" t="n">
        <v>61800</v>
      </c>
      <c r="C15" s="15" t="s">
        <v>46</v>
      </c>
    </row>
    <row r="16" customFormat="false" ht="15" hidden="false" customHeight="true" outlineLevel="0" collapsed="false">
      <c r="A16" s="13" t="s">
        <v>47</v>
      </c>
      <c r="B16" s="19" t="n">
        <v>2799</v>
      </c>
      <c r="C16" s="15" t="s">
        <v>48</v>
      </c>
    </row>
    <row r="17" customFormat="false" ht="15" hidden="false" customHeight="true" outlineLevel="0" collapsed="false">
      <c r="A17" s="20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8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50</v>
      </c>
    </row>
    <row r="3" customFormat="false" ht="15" hidden="false" customHeight="true" outlineLevel="0" collapsed="false">
      <c r="A3" s="12" t="s">
        <v>21</v>
      </c>
      <c r="B3" s="12" t="s">
        <v>37</v>
      </c>
      <c r="C3" s="12" t="s">
        <v>51</v>
      </c>
    </row>
    <row r="4" customFormat="false" ht="15" hidden="false" customHeight="true" outlineLevel="0" collapsed="false">
      <c r="A4" s="13" t="s">
        <v>52</v>
      </c>
      <c r="B4" s="19" t="n">
        <v>75408</v>
      </c>
      <c r="C4" s="15" t="s">
        <v>53</v>
      </c>
    </row>
    <row r="5" customFormat="false" ht="15" hidden="false" customHeight="true" outlineLevel="0" collapsed="false">
      <c r="A5" s="13" t="s">
        <v>54</v>
      </c>
      <c r="B5" s="19" t="n">
        <v>12976</v>
      </c>
      <c r="C5" s="15" t="s">
        <v>55</v>
      </c>
    </row>
    <row r="6" customFormat="false" ht="15" hidden="false" customHeight="true" outlineLevel="0" collapsed="false">
      <c r="A6" s="13" t="s">
        <v>56</v>
      </c>
      <c r="B6" s="19" t="n">
        <v>51001</v>
      </c>
      <c r="C6" s="15" t="s">
        <v>57</v>
      </c>
    </row>
    <row r="7" customFormat="false" ht="15" hidden="false" customHeight="true" outlineLevel="0" collapsed="false">
      <c r="A7" s="13" t="s">
        <v>58</v>
      </c>
      <c r="B7" s="19" t="n">
        <v>21969</v>
      </c>
      <c r="C7" s="15" t="s">
        <v>59</v>
      </c>
    </row>
    <row r="8" customFormat="false" ht="15" hidden="false" customHeight="true" outlineLevel="0" collapsed="false">
      <c r="A8" s="13" t="s">
        <v>60</v>
      </c>
      <c r="B8" s="19" t="n">
        <v>2799</v>
      </c>
      <c r="C8" s="15" t="s">
        <v>61</v>
      </c>
    </row>
    <row r="10" customFormat="false" ht="39.75" hidden="false" customHeight="true" outlineLevel="0" collapsed="false">
      <c r="A10" s="21" t="s">
        <v>62</v>
      </c>
      <c r="B10" s="21"/>
      <c r="C10" s="21"/>
    </row>
  </sheetData>
  <mergeCells count="1">
    <mergeCell ref="A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63</v>
      </c>
    </row>
    <row r="2" customFormat="false" ht="15" hidden="false" customHeight="true" outlineLevel="0" collapsed="false">
      <c r="A2" s="20" t="s">
        <v>64</v>
      </c>
    </row>
    <row r="4" customFormat="false" ht="15" hidden="false" customHeight="true" outlineLevel="0" collapsed="false">
      <c r="A4" s="12" t="s">
        <v>65</v>
      </c>
      <c r="B4" s="12" t="s">
        <v>66</v>
      </c>
      <c r="C4" s="12" t="s">
        <v>23</v>
      </c>
    </row>
    <row r="5" customFormat="false" ht="15" hidden="false" customHeight="true" outlineLevel="0" collapsed="false">
      <c r="A5" s="13" t="s">
        <v>67</v>
      </c>
      <c r="B5" s="19" t="n">
        <v>211915</v>
      </c>
      <c r="C5" s="15" t="s">
        <v>68</v>
      </c>
    </row>
    <row r="6" customFormat="false" ht="15" hidden="false" customHeight="true" outlineLevel="0" collapsed="false">
      <c r="A6" s="13" t="s">
        <v>69</v>
      </c>
      <c r="B6" s="19" t="n">
        <v>88523</v>
      </c>
      <c r="C6" s="15" t="s">
        <v>68</v>
      </c>
    </row>
    <row r="7" customFormat="false" ht="15" hidden="false" customHeight="true" outlineLevel="0" collapsed="false">
      <c r="A7" s="13" t="s">
        <v>70</v>
      </c>
      <c r="B7" s="19" t="n">
        <v>72361</v>
      </c>
      <c r="C7" s="15" t="s">
        <v>68</v>
      </c>
    </row>
    <row r="8" customFormat="false" ht="15" hidden="false" customHeight="true" outlineLevel="0" collapsed="false">
      <c r="A8" s="13" t="s">
        <v>71</v>
      </c>
      <c r="B8" s="16" t="n">
        <v>9.68</v>
      </c>
      <c r="C8" s="15" t="s">
        <v>68</v>
      </c>
    </row>
    <row r="9" customFormat="false" ht="15" hidden="false" customHeight="true" outlineLevel="0" collapsed="false">
      <c r="A9" s="17" t="s">
        <v>72</v>
      </c>
      <c r="B9" s="22" t="n">
        <v>7472</v>
      </c>
      <c r="C9" s="23" t="s">
        <v>73</v>
      </c>
    </row>
    <row r="10" customFormat="false" ht="15" hidden="false" customHeight="true" outlineLevel="0" collapsed="false">
      <c r="A10" s="17" t="s">
        <v>74</v>
      </c>
      <c r="B10" s="18" t="n">
        <f aca="false">B6/B5</f>
        <v>0.417728806361041</v>
      </c>
    </row>
    <row r="11" customFormat="false" ht="15" hidden="false" customHeight="true" outlineLevel="0" collapsed="false">
      <c r="A11" s="1" t="s">
        <v>75</v>
      </c>
      <c r="B11" s="24" t="n">
        <f aca="false">B7/B8</f>
        <v>7475.30991735537</v>
      </c>
      <c r="C11" s="1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77</v>
      </c>
    </row>
    <row r="2" customFormat="false" ht="15" hidden="false" customHeight="true" outlineLevel="0" collapsed="false">
      <c r="A2" s="20" t="s">
        <v>78</v>
      </c>
    </row>
    <row r="4" customFormat="false" ht="15" hidden="false" customHeight="true" outlineLevel="0" collapsed="false">
      <c r="A4" s="12" t="s">
        <v>65</v>
      </c>
      <c r="B4" s="12" t="s">
        <v>79</v>
      </c>
      <c r="C4" s="12" t="s">
        <v>23</v>
      </c>
    </row>
    <row r="5" customFormat="false" ht="15" hidden="false" customHeight="true" outlineLevel="0" collapsed="false">
      <c r="A5" s="13" t="s">
        <v>67</v>
      </c>
      <c r="B5" s="19" t="n">
        <v>7528</v>
      </c>
      <c r="C5" s="15" t="s">
        <v>80</v>
      </c>
    </row>
    <row r="6" customFormat="false" ht="15" hidden="false" customHeight="true" outlineLevel="0" collapsed="false">
      <c r="A6" s="13" t="s">
        <v>70</v>
      </c>
      <c r="B6" s="19" t="n">
        <v>1513</v>
      </c>
      <c r="C6" s="15" t="s">
        <v>81</v>
      </c>
    </row>
    <row r="7" customFormat="false" ht="15" hidden="false" customHeight="true" outlineLevel="0" collapsed="false">
      <c r="A7" s="13" t="s">
        <v>71</v>
      </c>
      <c r="B7" s="16" t="n">
        <v>1.92</v>
      </c>
      <c r="C7" s="15" t="s">
        <v>82</v>
      </c>
    </row>
    <row r="8" customFormat="false" ht="15" hidden="false" customHeight="true" outlineLevel="0" collapsed="false">
      <c r="A8" s="13" t="s">
        <v>83</v>
      </c>
      <c r="B8" s="25" t="n">
        <f aca="false">B9/B5</f>
        <v>0.221838469713071</v>
      </c>
      <c r="C8" s="15" t="s">
        <v>84</v>
      </c>
    </row>
    <row r="9" customFormat="false" ht="15" hidden="false" customHeight="true" outlineLevel="0" collapsed="false">
      <c r="A9" s="17" t="s">
        <v>69</v>
      </c>
      <c r="B9" s="26" t="n">
        <v>1670</v>
      </c>
      <c r="C9" s="23" t="s">
        <v>81</v>
      </c>
    </row>
    <row r="10" customFormat="false" ht="15" hidden="false" customHeight="true" outlineLevel="0" collapsed="false">
      <c r="A10" s="17" t="s">
        <v>72</v>
      </c>
      <c r="B10" s="22" t="n">
        <v>789</v>
      </c>
      <c r="C10" s="23" t="s">
        <v>85</v>
      </c>
    </row>
    <row r="11" customFormat="false" ht="15" hidden="false" customHeight="true" outlineLevel="0" collapsed="false">
      <c r="A11" s="1" t="s">
        <v>75</v>
      </c>
      <c r="B11" s="24" t="n">
        <f aca="false">B6/B7</f>
        <v>788.020833333333</v>
      </c>
      <c r="C11" s="1" t="s">
        <v>76</v>
      </c>
    </row>
    <row r="13" customFormat="false" ht="15" hidden="false" customHeight="true" outlineLevel="0" collapsed="false">
      <c r="A13" s="27" t="s">
        <v>86</v>
      </c>
      <c r="B13" s="19" t="n">
        <v>1744</v>
      </c>
      <c r="C13" s="15" t="s">
        <v>87</v>
      </c>
    </row>
    <row r="14" customFormat="false" ht="15" hidden="false" customHeight="true" outlineLevel="0" collapsed="false">
      <c r="A14" s="27" t="s">
        <v>88</v>
      </c>
      <c r="B14" s="19" t="n">
        <v>231</v>
      </c>
      <c r="C14" s="15" t="s">
        <v>89</v>
      </c>
    </row>
    <row r="15" customFormat="false" ht="15" hidden="false" customHeight="true" outlineLevel="0" collapsed="false">
      <c r="A15" s="27" t="s">
        <v>90</v>
      </c>
      <c r="B15" s="28" t="n">
        <f aca="false">B14/B13</f>
        <v>0.132454128440367</v>
      </c>
      <c r="C15" s="15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34"/>
    <col collapsed="false" customWidth="true" hidden="false" outlineLevel="0" max="2" min="2" style="7" width="18"/>
    <col collapsed="false" customWidth="true" hidden="false" outlineLevel="0" max="3" min="3" style="7" width="22"/>
    <col collapsed="false" customWidth="true" hidden="false" outlineLevel="0" max="4" min="4" style="7" width="48"/>
  </cols>
  <sheetData>
    <row r="1" customFormat="false" ht="24" hidden="false" customHeight="true" outlineLevel="0" collapsed="false">
      <c r="A1" s="29" t="s">
        <v>92</v>
      </c>
      <c r="B1" s="29"/>
      <c r="C1" s="29"/>
      <c r="D1" s="29"/>
      <c r="E1" s="30"/>
      <c r="F1" s="30"/>
      <c r="G1" s="30"/>
    </row>
    <row r="2" customFormat="false" ht="15" hidden="false" customHeight="true" outlineLevel="0" collapsed="false">
      <c r="A2" s="31" t="s">
        <v>93</v>
      </c>
      <c r="B2" s="31"/>
      <c r="C2" s="31"/>
      <c r="D2" s="31"/>
      <c r="E2" s="30"/>
      <c r="F2" s="30"/>
      <c r="G2" s="30"/>
    </row>
    <row r="3" customFormat="false" ht="15" hidden="false" customHeight="true" outlineLevel="0" collapsed="false">
      <c r="A3" s="30"/>
      <c r="B3" s="30"/>
      <c r="C3" s="30"/>
      <c r="D3" s="30"/>
      <c r="E3" s="30"/>
      <c r="F3" s="30"/>
      <c r="G3" s="30"/>
    </row>
    <row r="4" customFormat="false" ht="15" hidden="false" customHeight="true" outlineLevel="0" collapsed="false">
      <c r="A4" s="32" t="s">
        <v>94</v>
      </c>
      <c r="B4" s="32"/>
      <c r="C4" s="32"/>
      <c r="D4" s="32"/>
      <c r="E4" s="30"/>
      <c r="F4" s="30"/>
      <c r="G4" s="30"/>
    </row>
    <row r="5" customFormat="false" ht="15" hidden="false" customHeight="true" outlineLevel="0" collapsed="false">
      <c r="A5" s="33" t="s">
        <v>21</v>
      </c>
      <c r="B5" s="33" t="s">
        <v>37</v>
      </c>
      <c r="C5" s="33" t="s">
        <v>95</v>
      </c>
      <c r="D5" s="33" t="s">
        <v>96</v>
      </c>
      <c r="E5" s="30"/>
      <c r="F5" s="30"/>
      <c r="G5" s="30"/>
    </row>
    <row r="6" customFormat="false" ht="15" hidden="false" customHeight="true" outlineLevel="0" collapsed="false">
      <c r="A6" s="30" t="s">
        <v>45</v>
      </c>
      <c r="B6" s="34" t="n">
        <f aca="false">'Transaction Terms'!B15</f>
        <v>61800</v>
      </c>
      <c r="C6" s="30" t="s">
        <v>97</v>
      </c>
      <c r="D6" s="30" t="s">
        <v>98</v>
      </c>
      <c r="E6" s="30"/>
      <c r="F6" s="30"/>
      <c r="G6" s="30"/>
    </row>
    <row r="7" customFormat="false" ht="15" hidden="false" customHeight="true" outlineLevel="0" collapsed="false">
      <c r="A7" s="30" t="s">
        <v>43</v>
      </c>
      <c r="B7" s="34" t="n">
        <f aca="false">'Transaction Terms'!B14</f>
        <v>12976</v>
      </c>
      <c r="C7" s="30" t="s">
        <v>99</v>
      </c>
      <c r="D7" s="30" t="s">
        <v>100</v>
      </c>
      <c r="E7" s="30"/>
      <c r="F7" s="30"/>
      <c r="G7" s="30"/>
    </row>
    <row r="8" customFormat="false" ht="15" hidden="false" customHeight="true" outlineLevel="0" collapsed="false">
      <c r="A8" s="30" t="s">
        <v>101</v>
      </c>
      <c r="B8" s="35" t="n">
        <f aca="false">SUM(B6:B7)</f>
        <v>74776</v>
      </c>
      <c r="C8" s="30" t="s">
        <v>102</v>
      </c>
      <c r="D8" s="30" t="s">
        <v>103</v>
      </c>
      <c r="E8" s="30"/>
      <c r="F8" s="30"/>
      <c r="G8" s="30"/>
    </row>
    <row r="9" customFormat="false" ht="15" hidden="false" customHeight="true" outlineLevel="0" collapsed="false">
      <c r="A9" s="30" t="s">
        <v>104</v>
      </c>
      <c r="B9" s="34" t="n">
        <f aca="false">'Transaction Terms'!B13</f>
        <v>75408</v>
      </c>
      <c r="C9" s="30" t="s">
        <v>105</v>
      </c>
      <c r="D9" s="30" t="s">
        <v>100</v>
      </c>
      <c r="E9" s="30"/>
      <c r="F9" s="30"/>
      <c r="G9" s="30"/>
    </row>
    <row r="10" customFormat="false" ht="27.75" hidden="false" customHeight="true" outlineLevel="0" collapsed="false">
      <c r="A10" s="30" t="s">
        <v>106</v>
      </c>
      <c r="B10" s="35" t="n">
        <f aca="false">B9-B8</f>
        <v>632</v>
      </c>
      <c r="C10" s="30" t="s">
        <v>102</v>
      </c>
      <c r="D10" s="30" t="s">
        <v>107</v>
      </c>
      <c r="E10" s="30"/>
      <c r="F10" s="30"/>
      <c r="G10" s="30"/>
    </row>
    <row r="11" customFormat="false" ht="27.75" hidden="false" customHeight="true" outlineLevel="0" collapsed="false">
      <c r="A11" s="30" t="s">
        <v>60</v>
      </c>
      <c r="B11" s="34" t="n">
        <f aca="false">'Transaction Terms'!B16</f>
        <v>2799</v>
      </c>
      <c r="C11" s="30" t="s">
        <v>108</v>
      </c>
      <c r="D11" s="30" t="s">
        <v>109</v>
      </c>
      <c r="E11" s="30"/>
      <c r="F11" s="30"/>
      <c r="G11" s="30"/>
    </row>
    <row r="12" customFormat="false" ht="15" hidden="false" customHeight="true" outlineLevel="0" collapsed="false">
      <c r="A12" s="30"/>
      <c r="B12" s="30"/>
      <c r="C12" s="30"/>
      <c r="D12" s="30"/>
      <c r="E12" s="30"/>
      <c r="F12" s="30"/>
      <c r="G12" s="30"/>
    </row>
    <row r="13" customFormat="false" ht="27.75" hidden="false" customHeight="true" outlineLevel="0" collapsed="false">
      <c r="A13" s="32" t="s">
        <v>110</v>
      </c>
      <c r="B13" s="32"/>
      <c r="C13" s="32"/>
      <c r="D13" s="32"/>
      <c r="E13" s="30"/>
      <c r="F13" s="30"/>
      <c r="G13" s="30"/>
    </row>
    <row r="14" customFormat="false" ht="15" hidden="false" customHeight="true" outlineLevel="0" collapsed="false">
      <c r="A14" s="33" t="s">
        <v>111</v>
      </c>
      <c r="B14" s="33" t="s">
        <v>22</v>
      </c>
      <c r="C14" s="33" t="s">
        <v>112</v>
      </c>
      <c r="D14" s="33" t="s">
        <v>113</v>
      </c>
      <c r="E14" s="30"/>
      <c r="F14" s="30"/>
      <c r="G14" s="30"/>
    </row>
    <row r="15" customFormat="false" ht="27.75" hidden="false" customHeight="true" outlineLevel="0" collapsed="false">
      <c r="A15" s="30" t="s">
        <v>114</v>
      </c>
      <c r="B15" s="34" t="n">
        <f aca="false">B6</f>
        <v>61800</v>
      </c>
      <c r="C15" s="30" t="s">
        <v>115</v>
      </c>
      <c r="D15" s="30" t="s">
        <v>116</v>
      </c>
      <c r="E15" s="30"/>
      <c r="F15" s="30"/>
      <c r="G15" s="30"/>
    </row>
    <row r="16" customFormat="false" ht="15" hidden="false" customHeight="true" outlineLevel="0" collapsed="false">
      <c r="A16" s="30" t="s">
        <v>117</v>
      </c>
      <c r="B16" s="36" t="n">
        <v>0.04</v>
      </c>
      <c r="C16" s="30" t="s">
        <v>118</v>
      </c>
      <c r="D16" s="30" t="s">
        <v>119</v>
      </c>
      <c r="E16" s="30"/>
      <c r="F16" s="30"/>
      <c r="G16" s="30"/>
    </row>
    <row r="17" customFormat="false" ht="27.75" hidden="false" customHeight="true" outlineLevel="0" collapsed="false">
      <c r="A17" s="30" t="s">
        <v>120</v>
      </c>
      <c r="B17" s="37" t="n">
        <f aca="false">16950/89311</f>
        <v>0.189786252533283</v>
      </c>
      <c r="C17" s="30" t="s">
        <v>121</v>
      </c>
      <c r="D17" s="30" t="s">
        <v>122</v>
      </c>
      <c r="E17" s="30"/>
      <c r="F17" s="30"/>
      <c r="G17" s="30"/>
    </row>
    <row r="18" customFormat="false" ht="27.75" hidden="false" customHeight="true" outlineLevel="0" collapsed="false">
      <c r="A18" s="30" t="s">
        <v>123</v>
      </c>
      <c r="B18" s="38" t="n">
        <v>0</v>
      </c>
      <c r="C18" s="30" t="s">
        <v>124</v>
      </c>
      <c r="D18" s="30" t="s">
        <v>125</v>
      </c>
      <c r="E18" s="30"/>
      <c r="F18" s="30"/>
      <c r="G18" s="30"/>
    </row>
    <row r="19" customFormat="false" ht="27.75" hidden="false" customHeight="true" outlineLevel="0" collapsed="false">
      <c r="A19" s="30" t="s">
        <v>126</v>
      </c>
      <c r="B19" s="38" t="n">
        <v>0</v>
      </c>
      <c r="C19" s="30" t="s">
        <v>127</v>
      </c>
      <c r="D19" s="30" t="s">
        <v>128</v>
      </c>
      <c r="E19" s="30"/>
      <c r="F19" s="30"/>
      <c r="G19" s="30"/>
    </row>
    <row r="20" customFormat="false" ht="15" hidden="false" customHeight="true" outlineLevel="0" collapsed="false">
      <c r="A20" s="30"/>
      <c r="B20" s="30"/>
      <c r="C20" s="30"/>
      <c r="D20" s="30"/>
      <c r="E20" s="30"/>
      <c r="F20" s="30"/>
      <c r="G20" s="30"/>
    </row>
    <row r="21" customFormat="false" ht="15" hidden="false" customHeight="true" outlineLevel="0" collapsed="false">
      <c r="A21" s="32" t="s">
        <v>129</v>
      </c>
      <c r="B21" s="32"/>
      <c r="C21" s="32"/>
      <c r="D21" s="32"/>
      <c r="E21" s="30"/>
      <c r="F21" s="30"/>
      <c r="G21" s="30"/>
    </row>
    <row r="22" customFormat="false" ht="15" hidden="false" customHeight="true" outlineLevel="0" collapsed="false">
      <c r="A22" s="33" t="s">
        <v>130</v>
      </c>
      <c r="B22" s="33" t="s">
        <v>37</v>
      </c>
      <c r="C22" s="33" t="s">
        <v>131</v>
      </c>
      <c r="D22" s="33" t="s">
        <v>132</v>
      </c>
      <c r="E22" s="30"/>
      <c r="F22" s="30"/>
      <c r="G22" s="30"/>
    </row>
    <row r="23" customFormat="false" ht="27.75" hidden="false" customHeight="true" outlineLevel="0" collapsed="false">
      <c r="A23" s="30" t="s">
        <v>133</v>
      </c>
      <c r="B23" s="35" t="n">
        <f aca="false">B15*B16</f>
        <v>2472</v>
      </c>
      <c r="C23" s="30" t="s">
        <v>134</v>
      </c>
      <c r="D23" s="30" t="s">
        <v>135</v>
      </c>
      <c r="E23" s="30"/>
      <c r="F23" s="30"/>
      <c r="G23" s="30"/>
    </row>
    <row r="24" customFormat="false" ht="27.75" hidden="false" customHeight="true" outlineLevel="0" collapsed="false">
      <c r="A24" s="30" t="s">
        <v>136</v>
      </c>
      <c r="B24" s="35" t="n">
        <f aca="false">B23*B17</f>
        <v>469.151616262275</v>
      </c>
      <c r="C24" s="30" t="s">
        <v>137</v>
      </c>
      <c r="D24" s="30" t="s">
        <v>138</v>
      </c>
      <c r="E24" s="30"/>
      <c r="F24" s="30"/>
      <c r="G24" s="30"/>
    </row>
    <row r="25" customFormat="false" ht="27.75" hidden="false" customHeight="true" outlineLevel="0" collapsed="false">
      <c r="A25" s="30" t="s">
        <v>139</v>
      </c>
      <c r="B25" s="35" t="n">
        <f aca="false">B23-B24</f>
        <v>2002.84838373773</v>
      </c>
      <c r="C25" s="30" t="s">
        <v>140</v>
      </c>
      <c r="D25" s="30" t="s">
        <v>141</v>
      </c>
      <c r="E25" s="30"/>
      <c r="F25" s="30"/>
      <c r="G25" s="30"/>
    </row>
    <row r="26" customFormat="false" ht="15" hidden="false" customHeight="true" outlineLevel="0" collapsed="false">
      <c r="A26" s="30"/>
      <c r="B26" s="30"/>
      <c r="C26" s="30"/>
      <c r="D26" s="30"/>
      <c r="E26" s="30"/>
      <c r="F26" s="30"/>
      <c r="G26" s="30"/>
    </row>
    <row r="27" customFormat="false" ht="21.75" hidden="false" customHeight="true" outlineLevel="0" collapsed="false">
      <c r="A27" s="39" t="s">
        <v>142</v>
      </c>
      <c r="B27" s="39"/>
      <c r="C27" s="39"/>
      <c r="D27" s="39"/>
      <c r="E27" s="30"/>
      <c r="F27" s="30"/>
      <c r="G27" s="30"/>
    </row>
    <row r="28" customFormat="false" ht="15" hidden="false" customHeight="true" outlineLevel="0" collapsed="false">
      <c r="A28" s="30"/>
      <c r="B28" s="30"/>
      <c r="C28" s="30"/>
      <c r="D28" s="30"/>
      <c r="E28" s="30"/>
      <c r="F28" s="30"/>
      <c r="G28" s="30"/>
    </row>
    <row r="29" customFormat="false" ht="15" hidden="false" customHeight="true" outlineLevel="0" collapsed="false">
      <c r="A29" s="30"/>
      <c r="B29" s="30"/>
      <c r="C29" s="30"/>
      <c r="D29" s="30"/>
      <c r="E29" s="30"/>
      <c r="F29" s="30"/>
      <c r="G29" s="30"/>
    </row>
    <row r="30" customFormat="false" ht="15" hidden="false" customHeight="true" outlineLevel="0" collapsed="false">
      <c r="A30" s="30"/>
      <c r="B30" s="30"/>
      <c r="C30" s="30"/>
      <c r="D30" s="30"/>
      <c r="E30" s="30"/>
      <c r="F30" s="30"/>
      <c r="G30" s="30"/>
    </row>
    <row r="31" customFormat="false" ht="15" hidden="false" customHeight="true" outlineLevel="0" collapsed="false">
      <c r="A31" s="30"/>
      <c r="B31" s="30"/>
      <c r="C31" s="30"/>
      <c r="D31" s="30"/>
      <c r="E31" s="30"/>
      <c r="F31" s="30"/>
      <c r="G31" s="30"/>
    </row>
    <row r="32" customFormat="false" ht="15" hidden="false" customHeight="true" outlineLevel="0" collapsed="false">
      <c r="A32" s="30"/>
      <c r="B32" s="30"/>
      <c r="C32" s="30"/>
      <c r="D32" s="30"/>
      <c r="E32" s="30"/>
      <c r="F32" s="30"/>
      <c r="G32" s="30"/>
    </row>
    <row r="33" customFormat="false" ht="15" hidden="false" customHeight="true" outlineLevel="0" collapsed="false">
      <c r="A33" s="30"/>
      <c r="B33" s="30"/>
      <c r="C33" s="30"/>
      <c r="D33" s="30"/>
      <c r="E33" s="30"/>
      <c r="F33" s="30"/>
      <c r="G33" s="30"/>
    </row>
    <row r="34" customFormat="false" ht="15" hidden="false" customHeight="true" outlineLevel="0" collapsed="false">
      <c r="A34" s="30"/>
      <c r="B34" s="30"/>
      <c r="C34" s="30"/>
      <c r="D34" s="30"/>
      <c r="E34" s="30"/>
      <c r="F34" s="30"/>
      <c r="G34" s="30"/>
    </row>
    <row r="35" customFormat="false" ht="15" hidden="false" customHeight="true" outlineLevel="0" collapsed="false">
      <c r="A35" s="30"/>
      <c r="B35" s="30"/>
      <c r="C35" s="30"/>
      <c r="D35" s="30"/>
      <c r="E35" s="30"/>
      <c r="F35" s="30"/>
      <c r="G35" s="30"/>
    </row>
  </sheetData>
  <mergeCells count="2">
    <mergeCell ref="A2:D2"/>
    <mergeCell ref="A27:D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34"/>
    <col collapsed="false" customWidth="true" hidden="false" outlineLevel="0" max="2" min="2" style="7" width="18"/>
    <col collapsed="false" customWidth="true" hidden="false" outlineLevel="0" max="3" min="3" style="7" width="22"/>
    <col collapsed="false" customWidth="true" hidden="false" outlineLevel="0" max="4" min="4" style="7" width="48"/>
  </cols>
  <sheetData>
    <row r="1" customFormat="false" ht="24" hidden="false" customHeight="true" outlineLevel="0" collapsed="false">
      <c r="A1" s="29" t="s">
        <v>143</v>
      </c>
      <c r="B1" s="29"/>
      <c r="C1" s="29"/>
      <c r="D1" s="29"/>
      <c r="E1" s="30"/>
      <c r="F1" s="30"/>
      <c r="G1" s="30"/>
    </row>
    <row r="2" customFormat="false" ht="15" hidden="false" customHeight="true" outlineLevel="0" collapsed="false">
      <c r="A2" s="31" t="s">
        <v>144</v>
      </c>
      <c r="B2" s="31"/>
      <c r="C2" s="31"/>
      <c r="D2" s="31"/>
      <c r="E2" s="30"/>
      <c r="F2" s="30"/>
      <c r="G2" s="30"/>
    </row>
    <row r="3" customFormat="false" ht="15" hidden="false" customHeight="true" outlineLevel="0" collapsed="false">
      <c r="A3" s="30"/>
      <c r="B3" s="30"/>
      <c r="C3" s="30"/>
      <c r="D3" s="30"/>
      <c r="E3" s="30"/>
      <c r="F3" s="30"/>
      <c r="G3" s="30"/>
    </row>
    <row r="4" customFormat="false" ht="15" hidden="false" customHeight="true" outlineLevel="0" collapsed="false">
      <c r="A4" s="32" t="s">
        <v>145</v>
      </c>
      <c r="B4" s="32"/>
      <c r="C4" s="32"/>
      <c r="D4" s="32"/>
      <c r="E4" s="30"/>
      <c r="F4" s="30"/>
      <c r="G4" s="30"/>
    </row>
    <row r="5" customFormat="false" ht="15" hidden="false" customHeight="true" outlineLevel="0" collapsed="false">
      <c r="A5" s="33" t="s">
        <v>146</v>
      </c>
      <c r="B5" s="33" t="s">
        <v>147</v>
      </c>
      <c r="C5" s="33" t="s">
        <v>148</v>
      </c>
      <c r="D5" s="33" t="s">
        <v>149</v>
      </c>
      <c r="E5" s="30"/>
      <c r="F5" s="30"/>
      <c r="G5" s="30"/>
    </row>
    <row r="6" customFormat="false" ht="15" hidden="false" customHeight="true" outlineLevel="0" collapsed="false">
      <c r="A6" s="30" t="s">
        <v>150</v>
      </c>
      <c r="B6" s="40" t="n">
        <v>11619</v>
      </c>
      <c r="C6" s="40" t="n">
        <v>24</v>
      </c>
      <c r="D6" s="41" t="n">
        <f aca="false">B6/C6</f>
        <v>484.125</v>
      </c>
      <c r="E6" s="30"/>
      <c r="F6" s="30"/>
      <c r="G6" s="30"/>
    </row>
    <row r="7" customFormat="false" ht="15" hidden="false" customHeight="true" outlineLevel="0" collapsed="false">
      <c r="A7" s="30" t="s">
        <v>151</v>
      </c>
      <c r="B7" s="40" t="n">
        <v>9689</v>
      </c>
      <c r="C7" s="40" t="n">
        <v>4</v>
      </c>
      <c r="D7" s="41" t="n">
        <f aca="false">B7/C7</f>
        <v>2422.25</v>
      </c>
      <c r="E7" s="30"/>
      <c r="F7" s="30"/>
      <c r="G7" s="30"/>
    </row>
    <row r="8" customFormat="false" ht="15" hidden="false" customHeight="true" outlineLevel="0" collapsed="false">
      <c r="A8" s="30" t="s">
        <v>152</v>
      </c>
      <c r="B8" s="40" t="n">
        <v>661</v>
      </c>
      <c r="C8" s="40" t="n">
        <v>4</v>
      </c>
      <c r="D8" s="41" t="n">
        <f aca="false">B8/C8</f>
        <v>165.25</v>
      </c>
      <c r="E8" s="30"/>
      <c r="F8" s="30"/>
      <c r="G8" s="30"/>
    </row>
    <row r="9" customFormat="false" ht="15" hidden="false" customHeight="true" outlineLevel="0" collapsed="false">
      <c r="A9" s="30" t="s">
        <v>153</v>
      </c>
      <c r="B9" s="41" t="n">
        <f aca="false">SUM(B6:B8)</f>
        <v>21969</v>
      </c>
      <c r="C9" s="30"/>
      <c r="D9" s="41" t="n">
        <f aca="false">SUM(D6:D8)</f>
        <v>3071.625</v>
      </c>
      <c r="E9" s="30"/>
      <c r="F9" s="30"/>
      <c r="G9" s="30"/>
    </row>
    <row r="10" customFormat="false" ht="15" hidden="false" customHeight="true" outlineLevel="0" collapsed="false">
      <c r="A10" s="30"/>
      <c r="B10" s="30"/>
      <c r="C10" s="30"/>
      <c r="D10" s="30"/>
      <c r="E10" s="30"/>
      <c r="F10" s="30"/>
      <c r="G10" s="30"/>
    </row>
    <row r="11" customFormat="false" ht="15" hidden="false" customHeight="true" outlineLevel="0" collapsed="false">
      <c r="A11" s="32" t="s">
        <v>154</v>
      </c>
      <c r="B11" s="32"/>
      <c r="C11" s="32"/>
      <c r="D11" s="32"/>
      <c r="E11" s="30"/>
      <c r="F11" s="30"/>
      <c r="G11" s="30"/>
    </row>
    <row r="12" customFormat="false" ht="15" hidden="false" customHeight="true" outlineLevel="0" collapsed="false">
      <c r="A12" s="33" t="s">
        <v>21</v>
      </c>
      <c r="B12" s="33" t="s">
        <v>37</v>
      </c>
      <c r="C12" s="33" t="s">
        <v>155</v>
      </c>
      <c r="D12" s="33" t="s">
        <v>156</v>
      </c>
      <c r="E12" s="30"/>
      <c r="F12" s="30"/>
      <c r="G12" s="30"/>
    </row>
    <row r="13" customFormat="false" ht="15" hidden="false" customHeight="true" outlineLevel="0" collapsed="false">
      <c r="A13" s="30" t="s">
        <v>157</v>
      </c>
      <c r="B13" s="34" t="n">
        <f aca="false">'Microsoft Standalone'!B7</f>
        <v>72361</v>
      </c>
      <c r="C13" s="30"/>
      <c r="D13" s="30" t="s">
        <v>66</v>
      </c>
      <c r="E13" s="30"/>
      <c r="F13" s="30"/>
      <c r="G13" s="30"/>
    </row>
    <row r="14" customFormat="false" ht="15" hidden="false" customHeight="true" outlineLevel="0" collapsed="false">
      <c r="A14" s="30" t="s">
        <v>158</v>
      </c>
      <c r="B14" s="34" t="n">
        <f aca="false">'Activision Standalone'!B6</f>
        <v>1513</v>
      </c>
      <c r="C14" s="30"/>
      <c r="D14" s="30" t="s">
        <v>79</v>
      </c>
      <c r="E14" s="30"/>
      <c r="F14" s="30"/>
      <c r="G14" s="30"/>
    </row>
    <row r="15" customFormat="false" ht="15" hidden="false" customHeight="true" outlineLevel="0" collapsed="false">
      <c r="A15" s="30" t="s">
        <v>159</v>
      </c>
      <c r="B15" s="34" t="n">
        <f aca="false">'Sources &amp; Uses'!B25</f>
        <v>2002.84838373773</v>
      </c>
      <c r="C15" s="30"/>
      <c r="D15" s="30" t="s">
        <v>160</v>
      </c>
      <c r="E15" s="30"/>
      <c r="F15" s="30"/>
      <c r="G15" s="30"/>
    </row>
    <row r="16" customFormat="false" ht="27.75" hidden="false" customHeight="true" outlineLevel="0" collapsed="false">
      <c r="A16" s="30" t="s">
        <v>161</v>
      </c>
      <c r="B16" s="35" t="n">
        <f aca="false">D9*(1-'Sources &amp; Uses'!B17)</f>
        <v>2488.67280206246</v>
      </c>
      <c r="C16" s="30"/>
      <c r="D16" s="30" t="s">
        <v>162</v>
      </c>
      <c r="E16" s="30"/>
      <c r="F16" s="30"/>
      <c r="G16" s="30"/>
    </row>
    <row r="17" customFormat="false" ht="15" hidden="false" customHeight="true" outlineLevel="0" collapsed="false">
      <c r="A17" s="30" t="s">
        <v>163</v>
      </c>
      <c r="B17" s="42" t="n">
        <v>0</v>
      </c>
      <c r="C17" s="30"/>
      <c r="D17" s="30" t="s">
        <v>164</v>
      </c>
      <c r="E17" s="30"/>
      <c r="F17" s="30"/>
      <c r="G17" s="30"/>
    </row>
    <row r="18" customFormat="false" ht="15" hidden="false" customHeight="true" outlineLevel="0" collapsed="false">
      <c r="A18" s="30" t="s">
        <v>165</v>
      </c>
      <c r="B18" s="35" t="n">
        <f aca="false">B13+B14-B15-B16+B17</f>
        <v>69382.4788141998</v>
      </c>
      <c r="C18" s="30"/>
      <c r="D18" s="30" t="s">
        <v>166</v>
      </c>
      <c r="E18" s="30"/>
      <c r="F18" s="30"/>
      <c r="G18" s="30"/>
    </row>
    <row r="19" customFormat="false" ht="15" hidden="false" customHeight="true" outlineLevel="0" collapsed="false">
      <c r="A19" s="30" t="s">
        <v>167</v>
      </c>
      <c r="B19" s="43" t="n">
        <f aca="false">'Microsoft Standalone'!B9</f>
        <v>7472</v>
      </c>
      <c r="C19" s="30"/>
      <c r="D19" s="30" t="s">
        <v>168</v>
      </c>
      <c r="E19" s="30"/>
      <c r="F19" s="30"/>
      <c r="G19" s="30"/>
    </row>
    <row r="20" customFormat="false" ht="15" hidden="false" customHeight="true" outlineLevel="0" collapsed="false">
      <c r="A20" s="30" t="s">
        <v>169</v>
      </c>
      <c r="B20" s="44" t="n">
        <f aca="false">B18/B19</f>
        <v>9.285663652864</v>
      </c>
      <c r="C20" s="30"/>
      <c r="D20" s="30" t="s">
        <v>170</v>
      </c>
      <c r="E20" s="30"/>
      <c r="F20" s="30"/>
      <c r="G20" s="30"/>
    </row>
    <row r="21" customFormat="false" ht="15" hidden="false" customHeight="true" outlineLevel="0" collapsed="false">
      <c r="A21" s="30" t="s">
        <v>171</v>
      </c>
      <c r="B21" s="45" t="n">
        <f aca="false">'Microsoft Standalone'!B8</f>
        <v>9.68</v>
      </c>
      <c r="C21" s="30"/>
      <c r="D21" s="30" t="s">
        <v>172</v>
      </c>
      <c r="E21" s="30"/>
      <c r="F21" s="30"/>
      <c r="G21" s="30"/>
    </row>
    <row r="22" customFormat="false" ht="15" hidden="false" customHeight="true" outlineLevel="0" collapsed="false">
      <c r="A22" s="30" t="s">
        <v>173</v>
      </c>
      <c r="B22" s="37" t="n">
        <f aca="false">B20/B21-1</f>
        <v>-0.0407372259438016</v>
      </c>
      <c r="C22" s="30"/>
      <c r="D22" s="30" t="s">
        <v>174</v>
      </c>
      <c r="E22" s="30"/>
      <c r="F22" s="30"/>
      <c r="G22" s="30"/>
    </row>
    <row r="23" customFormat="false" ht="15" hidden="false" customHeight="true" outlineLevel="0" collapsed="false">
      <c r="A23" s="30"/>
      <c r="B23" s="30"/>
      <c r="C23" s="30"/>
      <c r="D23" s="30"/>
      <c r="E23" s="30"/>
      <c r="F23" s="30"/>
      <c r="G23" s="30"/>
    </row>
    <row r="24" customFormat="false" ht="41.25" hidden="false" customHeight="true" outlineLevel="0" collapsed="false">
      <c r="A24" s="32" t="s">
        <v>175</v>
      </c>
      <c r="B24" s="32"/>
      <c r="C24" s="32"/>
      <c r="D24" s="32"/>
      <c r="E24" s="30"/>
      <c r="F24" s="30"/>
      <c r="G24" s="30"/>
    </row>
    <row r="25" customFormat="false" ht="27.75" hidden="false" customHeight="true" outlineLevel="0" collapsed="false">
      <c r="A25" s="33" t="s">
        <v>65</v>
      </c>
      <c r="B25" s="33" t="s">
        <v>176</v>
      </c>
      <c r="C25" s="33" t="s">
        <v>177</v>
      </c>
      <c r="D25" s="33" t="s">
        <v>132</v>
      </c>
      <c r="E25" s="30"/>
      <c r="F25" s="30"/>
      <c r="G25" s="30"/>
    </row>
    <row r="26" customFormat="false" ht="41.25" hidden="false" customHeight="true" outlineLevel="0" collapsed="false">
      <c r="A26" s="30" t="s">
        <v>178</v>
      </c>
      <c r="B26" s="42" t="n">
        <v>71383</v>
      </c>
      <c r="C26" s="35" t="n">
        <f aca="false">B18</f>
        <v>69382.4788141998</v>
      </c>
      <c r="D26" s="30" t="s">
        <v>179</v>
      </c>
      <c r="E26" s="30"/>
      <c r="F26" s="30"/>
      <c r="G26" s="30"/>
    </row>
    <row r="27" customFormat="false" ht="27.75" hidden="false" customHeight="true" outlineLevel="0" collapsed="false">
      <c r="A27" s="30" t="s">
        <v>71</v>
      </c>
      <c r="B27" s="46" t="n">
        <v>9.55</v>
      </c>
      <c r="C27" s="44" t="n">
        <f aca="false">B20</f>
        <v>9.285663652864</v>
      </c>
      <c r="D27" s="30" t="s">
        <v>180</v>
      </c>
      <c r="E27" s="30"/>
      <c r="F27" s="30"/>
      <c r="G27" s="30"/>
    </row>
    <row r="28" customFormat="false" ht="15" hidden="false" customHeight="true" outlineLevel="0" collapsed="false">
      <c r="A28" s="30" t="s">
        <v>181</v>
      </c>
      <c r="B28" s="47"/>
      <c r="C28" s="44" t="n">
        <f aca="false">C27-B27</f>
        <v>-0.264336347136</v>
      </c>
      <c r="D28" s="30" t="s">
        <v>182</v>
      </c>
      <c r="E28" s="30"/>
      <c r="F28" s="30"/>
      <c r="G28" s="30"/>
    </row>
    <row r="29" customFormat="false" ht="15" hidden="false" customHeight="true" outlineLevel="0" collapsed="false">
      <c r="A29" s="30"/>
      <c r="B29" s="30"/>
      <c r="C29" s="30"/>
      <c r="D29" s="30"/>
      <c r="E29" s="30"/>
      <c r="F29" s="30"/>
      <c r="G29" s="30"/>
    </row>
    <row r="30" customFormat="false" ht="15" hidden="false" customHeight="true" outlineLevel="0" collapsed="false">
      <c r="A30" s="39" t="s">
        <v>183</v>
      </c>
      <c r="B30" s="39"/>
      <c r="C30" s="39"/>
      <c r="D30" s="39"/>
      <c r="E30" s="30"/>
      <c r="F30" s="30"/>
      <c r="G30" s="30"/>
    </row>
    <row r="31" customFormat="false" ht="15" hidden="false" customHeight="true" outlineLevel="0" collapsed="false">
      <c r="A31" s="30"/>
      <c r="B31" s="30"/>
      <c r="C31" s="30"/>
      <c r="D31" s="30"/>
      <c r="E31" s="30"/>
      <c r="F31" s="30"/>
      <c r="G31" s="30"/>
    </row>
    <row r="32" customFormat="false" ht="15" hidden="false" customHeight="true" outlineLevel="0" collapsed="false">
      <c r="A32" s="30"/>
      <c r="B32" s="30"/>
      <c r="C32" s="30"/>
      <c r="D32" s="30"/>
      <c r="E32" s="30"/>
      <c r="F32" s="30"/>
      <c r="G32" s="30"/>
    </row>
    <row r="33" customFormat="false" ht="15" hidden="false" customHeight="true" outlineLevel="0" collapsed="false">
      <c r="A33" s="30"/>
      <c r="B33" s="30"/>
      <c r="C33" s="30"/>
      <c r="D33" s="30"/>
      <c r="E33" s="30"/>
      <c r="F33" s="30"/>
      <c r="G33" s="30"/>
    </row>
    <row r="34" customFormat="false" ht="15" hidden="false" customHeight="true" outlineLevel="0" collapsed="false">
      <c r="A34" s="30"/>
      <c r="B34" s="30"/>
      <c r="C34" s="30"/>
      <c r="D34" s="30"/>
      <c r="E34" s="30"/>
      <c r="F34" s="30"/>
      <c r="G34" s="30"/>
    </row>
    <row r="35" customFormat="false" ht="15" hidden="false" customHeight="true" outlineLevel="0" collapsed="false">
      <c r="A35" s="30"/>
      <c r="B35" s="30"/>
      <c r="C35" s="30"/>
      <c r="D35" s="30"/>
      <c r="E35" s="30"/>
      <c r="F35" s="30"/>
      <c r="G35" s="30"/>
    </row>
  </sheetData>
  <mergeCells count="2">
    <mergeCell ref="A2:D2"/>
    <mergeCell ref="A30:D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34"/>
    <col collapsed="false" customWidth="true" hidden="false" outlineLevel="0" max="6" min="2" style="7" width="16"/>
    <col collapsed="false" customWidth="true" hidden="false" outlineLevel="0" max="7" min="7" style="7" width="18"/>
  </cols>
  <sheetData>
    <row r="1" customFormat="false" ht="24" hidden="false" customHeight="true" outlineLevel="0" collapsed="false">
      <c r="A1" s="29" t="s">
        <v>184</v>
      </c>
      <c r="B1" s="29"/>
      <c r="C1" s="29"/>
      <c r="D1" s="29"/>
      <c r="E1" s="29"/>
      <c r="F1" s="29"/>
      <c r="G1" s="29"/>
    </row>
    <row r="2" customFormat="false" ht="15" hidden="false" customHeight="true" outlineLevel="0" collapsed="false">
      <c r="A2" s="31" t="s">
        <v>185</v>
      </c>
      <c r="B2" s="31"/>
      <c r="C2" s="31"/>
      <c r="D2" s="31"/>
      <c r="E2" s="31"/>
      <c r="F2" s="31"/>
      <c r="G2" s="31"/>
    </row>
    <row r="3" customFormat="false" ht="15" hidden="false" customHeight="true" outlineLevel="0" collapsed="false">
      <c r="A3" s="30"/>
      <c r="B3" s="30"/>
      <c r="C3" s="30"/>
      <c r="D3" s="30"/>
      <c r="E3" s="30"/>
      <c r="F3" s="30"/>
      <c r="G3" s="30"/>
    </row>
    <row r="4" customFormat="false" ht="15" hidden="false" customHeight="true" outlineLevel="0" collapsed="false">
      <c r="A4" s="32" t="s">
        <v>186</v>
      </c>
      <c r="B4" s="32"/>
      <c r="C4" s="32"/>
      <c r="D4" s="32"/>
      <c r="E4" s="32"/>
      <c r="F4" s="32"/>
      <c r="G4" s="32"/>
    </row>
    <row r="5" customFormat="false" ht="15" hidden="false" customHeight="true" outlineLevel="0" collapsed="false">
      <c r="A5" s="33" t="s">
        <v>187</v>
      </c>
      <c r="B5" s="33" t="s">
        <v>22</v>
      </c>
      <c r="C5" s="33" t="s">
        <v>188</v>
      </c>
      <c r="D5" s="33" t="s">
        <v>189</v>
      </c>
      <c r="E5" s="30"/>
      <c r="F5" s="30"/>
      <c r="G5" s="30"/>
    </row>
    <row r="6" customFormat="false" ht="41.25" hidden="false" customHeight="true" outlineLevel="0" collapsed="false">
      <c r="A6" s="30" t="s">
        <v>190</v>
      </c>
      <c r="B6" s="48" t="n">
        <f aca="false">'Activision Standalone'!B6</f>
        <v>1513</v>
      </c>
      <c r="C6" s="30" t="s">
        <v>191</v>
      </c>
      <c r="D6" s="30" t="s">
        <v>192</v>
      </c>
      <c r="E6" s="30"/>
      <c r="F6" s="30"/>
      <c r="G6" s="30"/>
    </row>
    <row r="7" customFormat="false" ht="27.75" hidden="false" customHeight="true" outlineLevel="0" collapsed="false">
      <c r="A7" s="30" t="s">
        <v>193</v>
      </c>
      <c r="B7" s="48" t="n">
        <f aca="false">'Accretion Dilution'!D9</f>
        <v>3071.625</v>
      </c>
      <c r="C7" s="30" t="s">
        <v>191</v>
      </c>
      <c r="D7" s="30" t="s">
        <v>194</v>
      </c>
      <c r="E7" s="30"/>
      <c r="F7" s="30"/>
      <c r="G7" s="30"/>
    </row>
    <row r="8" customFormat="false" ht="27.75" hidden="false" customHeight="true" outlineLevel="0" collapsed="false">
      <c r="A8" s="30" t="s">
        <v>117</v>
      </c>
      <c r="B8" s="49" t="n">
        <f aca="false">'Sources &amp; Uses'!B16</f>
        <v>0.04</v>
      </c>
      <c r="C8" s="30"/>
      <c r="D8" s="30" t="s">
        <v>195</v>
      </c>
      <c r="E8" s="30"/>
      <c r="F8" s="30"/>
      <c r="G8" s="30"/>
    </row>
    <row r="9" customFormat="false" ht="15" hidden="false" customHeight="true" outlineLevel="0" collapsed="false">
      <c r="A9" s="30" t="s">
        <v>120</v>
      </c>
      <c r="B9" s="49" t="n">
        <f aca="false">'Sources &amp; Uses'!B17</f>
        <v>0.189786252533283</v>
      </c>
      <c r="C9" s="30"/>
      <c r="D9" s="30" t="s">
        <v>66</v>
      </c>
      <c r="E9" s="30"/>
      <c r="F9" s="30"/>
      <c r="G9" s="30"/>
    </row>
    <row r="10" customFormat="false" ht="27.75" hidden="false" customHeight="true" outlineLevel="0" collapsed="false">
      <c r="A10" s="30" t="s">
        <v>196</v>
      </c>
      <c r="B10" s="50" t="n">
        <f aca="false">((('Microsoft Standalone'!B8*'Microsoft Standalone'!B9)-'Microsoft Standalone'!B7-'Activision Standalone'!B6+('Sources &amp; Uses'!B15*B8*(1-'Sources &amp; Uses'!B17))+('Accretion Dilution'!D9*(1-'Sources &amp; Uses'!B17)))/(1-'Sources &amp; Uses'!B17))</f>
        <v>3636.67142777186</v>
      </c>
      <c r="C10" s="30" t="s">
        <v>191</v>
      </c>
      <c r="D10" s="30" t="s">
        <v>197</v>
      </c>
      <c r="E10" s="30"/>
      <c r="F10" s="30"/>
      <c r="G10" s="30"/>
    </row>
    <row r="11" customFormat="false" ht="27.75" hidden="false" customHeight="true" outlineLevel="0" collapsed="false">
      <c r="A11" s="30" t="s">
        <v>198</v>
      </c>
      <c r="B11" s="37" t="n">
        <f aca="false">B10/'Activision Standalone'!B5</f>
        <v>0.483086002626442</v>
      </c>
      <c r="C11" s="30"/>
      <c r="D11" s="30" t="s">
        <v>199</v>
      </c>
      <c r="E11" s="30"/>
      <c r="F11" s="30"/>
      <c r="G11" s="30"/>
    </row>
    <row r="12" customFormat="false" ht="15" hidden="false" customHeight="true" outlineLevel="0" collapsed="false">
      <c r="A12" s="30"/>
      <c r="B12" s="30"/>
      <c r="C12" s="30"/>
      <c r="D12" s="30"/>
      <c r="E12" s="30"/>
      <c r="F12" s="30"/>
      <c r="G12" s="30"/>
    </row>
    <row r="13" customFormat="false" ht="27.75" hidden="false" customHeight="true" outlineLevel="0" collapsed="false">
      <c r="A13" s="32" t="s">
        <v>200</v>
      </c>
      <c r="B13" s="32"/>
      <c r="C13" s="32"/>
      <c r="D13" s="32"/>
      <c r="E13" s="32"/>
      <c r="F13" s="32"/>
      <c r="G13" s="32"/>
    </row>
    <row r="14" customFormat="false" ht="15" hidden="false" customHeight="true" outlineLevel="0" collapsed="false">
      <c r="A14" s="33" t="s">
        <v>201</v>
      </c>
      <c r="B14" s="51" t="n">
        <v>0.02</v>
      </c>
      <c r="C14" s="51" t="n">
        <v>0.03</v>
      </c>
      <c r="D14" s="51" t="n">
        <v>0.04</v>
      </c>
      <c r="E14" s="51" t="n">
        <v>0.05</v>
      </c>
      <c r="F14" s="51" t="n">
        <v>0.06</v>
      </c>
      <c r="G14" s="30"/>
    </row>
    <row r="15" customFormat="false" ht="15" hidden="false" customHeight="true" outlineLevel="0" collapsed="false">
      <c r="A15" s="30" t="s">
        <v>202</v>
      </c>
      <c r="B15" s="35" t="n">
        <f aca="false">((('Microsoft Standalone'!B8*'Microsoft Standalone'!B9)-'Microsoft Standalone'!B7-'Activision Standalone'!B6+('Sources &amp; Uses'!B15*B14*(1-'Sources &amp; Uses'!B17))+('Accretion Dilution'!D9*(1-'Sources &amp; Uses'!B17)))/(1-'Sources &amp; Uses'!B17))</f>
        <v>2400.67142777186</v>
      </c>
      <c r="C15" s="35" t="n">
        <f aca="false">((('Microsoft Standalone'!B8*'Microsoft Standalone'!B9)-'Microsoft Standalone'!B7-'Activision Standalone'!B6+('Sources &amp; Uses'!B15*C14*(1-'Sources &amp; Uses'!B17))+('Accretion Dilution'!D9*(1-'Sources &amp; Uses'!B17)))/(1-'Sources &amp; Uses'!B17))</f>
        <v>3018.67142777186</v>
      </c>
      <c r="D15" s="35" t="n">
        <f aca="false">((('Microsoft Standalone'!B8*'Microsoft Standalone'!B9)-'Microsoft Standalone'!B7-'Activision Standalone'!B6+('Sources &amp; Uses'!B15*D14*(1-'Sources &amp; Uses'!B17))+('Accretion Dilution'!D9*(1-'Sources &amp; Uses'!B17)))/(1-'Sources &amp; Uses'!B17))</f>
        <v>3636.67142777186</v>
      </c>
      <c r="E15" s="35" t="n">
        <f aca="false">((('Microsoft Standalone'!B8*'Microsoft Standalone'!B9)-'Microsoft Standalone'!B7-'Activision Standalone'!B6+('Sources &amp; Uses'!B15*E14*(1-'Sources &amp; Uses'!B17))+('Accretion Dilution'!D9*(1-'Sources &amp; Uses'!B17)))/(1-'Sources &amp; Uses'!B17))</f>
        <v>4254.67142777186</v>
      </c>
      <c r="F15" s="35" t="n">
        <f aca="false">((('Microsoft Standalone'!B8*'Microsoft Standalone'!B9)-'Microsoft Standalone'!B7-'Activision Standalone'!B6+('Sources &amp; Uses'!B15*F14*(1-'Sources &amp; Uses'!B17))+('Accretion Dilution'!D9*(1-'Sources &amp; Uses'!B17)))/(1-'Sources &amp; Uses'!B17))</f>
        <v>4872.67142777186</v>
      </c>
      <c r="G15" s="30"/>
    </row>
    <row r="16" customFormat="false" ht="15" hidden="false" customHeight="true" outlineLevel="0" collapsed="false">
      <c r="A16" s="30"/>
      <c r="B16" s="30"/>
      <c r="C16" s="30"/>
      <c r="D16" s="30"/>
      <c r="E16" s="30"/>
      <c r="F16" s="30"/>
      <c r="G16" s="30"/>
    </row>
    <row r="17" customFormat="false" ht="15" hidden="false" customHeight="true" outlineLevel="0" collapsed="false">
      <c r="A17" s="30"/>
      <c r="B17" s="30"/>
      <c r="C17" s="30"/>
      <c r="D17" s="30"/>
      <c r="E17" s="30"/>
      <c r="F17" s="30"/>
      <c r="G17" s="30"/>
    </row>
    <row r="18" customFormat="false" ht="27.75" hidden="false" customHeight="true" outlineLevel="0" collapsed="false">
      <c r="A18" s="32" t="s">
        <v>203</v>
      </c>
      <c r="B18" s="32"/>
      <c r="C18" s="32"/>
      <c r="D18" s="32"/>
      <c r="E18" s="32"/>
      <c r="F18" s="32"/>
      <c r="G18" s="32"/>
    </row>
    <row r="19" customFormat="false" ht="15" hidden="false" customHeight="true" outlineLevel="0" collapsed="false">
      <c r="A19" s="33" t="s">
        <v>204</v>
      </c>
      <c r="B19" s="51" t="n">
        <v>0.02</v>
      </c>
      <c r="C19" s="51" t="n">
        <v>0.03</v>
      </c>
      <c r="D19" s="51" t="n">
        <v>0.04</v>
      </c>
      <c r="E19" s="51" t="n">
        <v>0.05</v>
      </c>
      <c r="F19" s="51" t="n">
        <v>0.06</v>
      </c>
      <c r="G19" s="30"/>
    </row>
    <row r="20" customFormat="false" ht="15" hidden="false" customHeight="true" outlineLevel="0" collapsed="false">
      <c r="A20" s="42" t="n">
        <v>0</v>
      </c>
      <c r="B20" s="37" t="n">
        <f aca="false">(('Microsoft Standalone'!B7+'Activision Standalone'!B6-('Sources &amp; Uses'!B15*B$19*(1-'Sources &amp; Uses'!B17))-('Accretion Dilution'!D9*(1-'Sources &amp; Uses'!B17))+($A20*(1-'Sources &amp; Uses'!B17)))/'Microsoft Standalone'!B9/'Microsoft Standalone'!B8)-1</f>
        <v>-0.0268918147576201</v>
      </c>
      <c r="C20" s="37" t="n">
        <f aca="false">(('Microsoft Standalone'!B7+'Activision Standalone'!B6-('Sources &amp; Uses'!B15*C$19*(1-'Sources &amp; Uses'!B17))-('Accretion Dilution'!D9*(1-'Sources &amp; Uses'!B17))+($A20*(1-'Sources &amp; Uses'!B17)))/'Microsoft Standalone'!B9/'Microsoft Standalone'!B8)-1</f>
        <v>-0.0338145203507109</v>
      </c>
      <c r="D20" s="37" t="n">
        <f aca="false">(('Microsoft Standalone'!B7+'Activision Standalone'!B6-('Sources &amp; Uses'!B15*D$19*(1-'Sources &amp; Uses'!B17))-('Accretion Dilution'!D9*(1-'Sources &amp; Uses'!B17))+($A20*(1-'Sources &amp; Uses'!B17)))/'Microsoft Standalone'!B9/'Microsoft Standalone'!B8)-1</f>
        <v>-0.0407372259438016</v>
      </c>
      <c r="E20" s="37" t="n">
        <f aca="false">(('Microsoft Standalone'!B7+'Activision Standalone'!B6-('Sources &amp; Uses'!B15*E$19*(1-'Sources &amp; Uses'!B17))-('Accretion Dilution'!D9*(1-'Sources &amp; Uses'!B17))+($A20*(1-'Sources &amp; Uses'!B17)))/'Microsoft Standalone'!B9/'Microsoft Standalone'!B8)-1</f>
        <v>-0.0476599315368922</v>
      </c>
      <c r="F20" s="37" t="n">
        <f aca="false">(('Microsoft Standalone'!B7+'Activision Standalone'!B6-('Sources &amp; Uses'!B15*F$19*(1-'Sources &amp; Uses'!B17))-('Accretion Dilution'!D9*(1-'Sources &amp; Uses'!B17))+($A20*(1-'Sources &amp; Uses'!B17)))/'Microsoft Standalone'!B9/'Microsoft Standalone'!B8)-1</f>
        <v>-0.0545826371299829</v>
      </c>
      <c r="G20" s="30"/>
    </row>
    <row r="21" customFormat="false" ht="15" hidden="false" customHeight="true" outlineLevel="0" collapsed="false">
      <c r="A21" s="42" t="n">
        <v>1000</v>
      </c>
      <c r="B21" s="37" t="n">
        <f aca="false">(('Microsoft Standalone'!B7+'Activision Standalone'!B6-('Sources &amp; Uses'!B15*B$19*(1-'Sources &amp; Uses'!B17))-('Accretion Dilution'!D9*(1-'Sources &amp; Uses'!B17))+($A21*(1-'Sources &amp; Uses'!B17)))/'Microsoft Standalone'!B9/'Microsoft Standalone'!B8)-1</f>
        <v>-0.0156900257720366</v>
      </c>
      <c r="C21" s="37" t="n">
        <f aca="false">(('Microsoft Standalone'!B7+'Activision Standalone'!B6-('Sources &amp; Uses'!B15*C$19*(1-'Sources &amp; Uses'!B17))-('Accretion Dilution'!D9*(1-'Sources &amp; Uses'!B17))+($A21*(1-'Sources &amp; Uses'!B17)))/'Microsoft Standalone'!B9/'Microsoft Standalone'!B8)-1</f>
        <v>-0.0226127313651273</v>
      </c>
      <c r="D21" s="37" t="n">
        <f aca="false">(('Microsoft Standalone'!B7+'Activision Standalone'!B6-('Sources &amp; Uses'!B15*D$19*(1-'Sources &amp; Uses'!B17))-('Accretion Dilution'!D9*(1-'Sources &amp; Uses'!B17))+($A21*(1-'Sources &amp; Uses'!B17)))/'Microsoft Standalone'!B9/'Microsoft Standalone'!B8)-1</f>
        <v>-0.029535436958218</v>
      </c>
      <c r="E21" s="37" t="n">
        <f aca="false">(('Microsoft Standalone'!B7+'Activision Standalone'!B6-('Sources &amp; Uses'!B15*E$19*(1-'Sources &amp; Uses'!B17))-('Accretion Dilution'!D9*(1-'Sources &amp; Uses'!B17))+($A21*(1-'Sources &amp; Uses'!B17)))/'Microsoft Standalone'!B9/'Microsoft Standalone'!B8)-1</f>
        <v>-0.0364581425513086</v>
      </c>
      <c r="F21" s="37" t="n">
        <f aca="false">(('Microsoft Standalone'!B7+'Activision Standalone'!B6-('Sources &amp; Uses'!B15*F$19*(1-'Sources &amp; Uses'!B17))-('Accretion Dilution'!D9*(1-'Sources &amp; Uses'!B17))+($A21*(1-'Sources &amp; Uses'!B17)))/'Microsoft Standalone'!B9/'Microsoft Standalone'!B8)-1</f>
        <v>-0.0433808481443994</v>
      </c>
      <c r="G21" s="30"/>
    </row>
    <row r="22" customFormat="false" ht="15" hidden="false" customHeight="true" outlineLevel="0" collapsed="false">
      <c r="A22" s="42" t="n">
        <v>2000</v>
      </c>
      <c r="B22" s="37" t="n">
        <f aca="false">(('Microsoft Standalone'!B7+'Activision Standalone'!B6-('Sources &amp; Uses'!B15*B$19*(1-'Sources &amp; Uses'!B17))-('Accretion Dilution'!D9*(1-'Sources &amp; Uses'!B17))+($A22*(1-'Sources &amp; Uses'!B17)))/'Microsoft Standalone'!B9/'Microsoft Standalone'!B8)-1</f>
        <v>-0.00448823678645294</v>
      </c>
      <c r="C22" s="37" t="n">
        <f aca="false">(('Microsoft Standalone'!B7+'Activision Standalone'!B6-('Sources &amp; Uses'!B15*C$19*(1-'Sources &amp; Uses'!B17))-('Accretion Dilution'!D9*(1-'Sources &amp; Uses'!B17))+($A22*(1-'Sources &amp; Uses'!B17)))/'Microsoft Standalone'!B9/'Microsoft Standalone'!B8)-1</f>
        <v>-0.0114109423795435</v>
      </c>
      <c r="D22" s="37" t="n">
        <f aca="false">(('Microsoft Standalone'!B7+'Activision Standalone'!B6-('Sources &amp; Uses'!B15*D$19*(1-'Sources &amp; Uses'!B17))-('Accretion Dilution'!D9*(1-'Sources &amp; Uses'!B17))+($A22*(1-'Sources &amp; Uses'!B17)))/'Microsoft Standalone'!B9/'Microsoft Standalone'!B8)-1</f>
        <v>-0.0183336479726343</v>
      </c>
      <c r="E22" s="37" t="n">
        <f aca="false">(('Microsoft Standalone'!B7+'Activision Standalone'!B6-('Sources &amp; Uses'!B15*E$19*(1-'Sources &amp; Uses'!B17))-('Accretion Dilution'!D9*(1-'Sources &amp; Uses'!B17))+($A22*(1-'Sources &amp; Uses'!B17)))/'Microsoft Standalone'!B9/'Microsoft Standalone'!B8)-1</f>
        <v>-0.025256353565725</v>
      </c>
      <c r="F22" s="37" t="n">
        <f aca="false">(('Microsoft Standalone'!B7+'Activision Standalone'!B6-('Sources &amp; Uses'!B15*F$19*(1-'Sources &amp; Uses'!B17))-('Accretion Dilution'!D9*(1-'Sources &amp; Uses'!B17))+($A22*(1-'Sources &amp; Uses'!B17)))/'Microsoft Standalone'!B9/'Microsoft Standalone'!B8)-1</f>
        <v>-0.0321790591588156</v>
      </c>
      <c r="G22" s="30"/>
    </row>
    <row r="23" customFormat="false" ht="15" hidden="false" customHeight="true" outlineLevel="0" collapsed="false">
      <c r="A23" s="42" t="n">
        <v>3000</v>
      </c>
      <c r="B23" s="37" t="n">
        <f aca="false">(('Microsoft Standalone'!B7+'Activision Standalone'!B6-('Sources &amp; Uses'!B15*B$19*(1-'Sources &amp; Uses'!B17))-('Accretion Dilution'!D9*(1-'Sources &amp; Uses'!B17))+($A23*(1-'Sources &amp; Uses'!B17)))/'Microsoft Standalone'!B9/'Microsoft Standalone'!B8)-1</f>
        <v>0.00671355219913061</v>
      </c>
      <c r="C23" s="37" t="n">
        <f aca="false">(('Microsoft Standalone'!B7+'Activision Standalone'!B6-('Sources &amp; Uses'!B15*C$19*(1-'Sources &amp; Uses'!B17))-('Accretion Dilution'!D9*(1-'Sources &amp; Uses'!B17))+($A23*(1-'Sources &amp; Uses'!B17)))/'Microsoft Standalone'!B9/'Microsoft Standalone'!B8)-1</f>
        <v>-0.000209153393959993</v>
      </c>
      <c r="D23" s="37" t="n">
        <f aca="false">(('Microsoft Standalone'!B7+'Activision Standalone'!B6-('Sources &amp; Uses'!B15*D$19*(1-'Sources &amp; Uses'!B17))-('Accretion Dilution'!D9*(1-'Sources &amp; Uses'!B17))+($A23*(1-'Sources &amp; Uses'!B17)))/'Microsoft Standalone'!B9/'Microsoft Standalone'!B8)-1</f>
        <v>-0.00713185898705071</v>
      </c>
      <c r="E23" s="37" t="n">
        <f aca="false">(('Microsoft Standalone'!B7+'Activision Standalone'!B6-('Sources &amp; Uses'!B15*E$19*(1-'Sources &amp; Uses'!B17))-('Accretion Dilution'!D9*(1-'Sources &amp; Uses'!B17))+($A23*(1-'Sources &amp; Uses'!B17)))/'Microsoft Standalone'!B9/'Microsoft Standalone'!B8)-1</f>
        <v>-0.0140545645801414</v>
      </c>
      <c r="F23" s="37" t="n">
        <f aca="false">(('Microsoft Standalone'!B7+'Activision Standalone'!B6-('Sources &amp; Uses'!B15*F$19*(1-'Sources &amp; Uses'!B17))-('Accretion Dilution'!D9*(1-'Sources &amp; Uses'!B17))+($A23*(1-'Sources &amp; Uses'!B17)))/'Microsoft Standalone'!B9/'Microsoft Standalone'!B8)-1</f>
        <v>-0.020977270173232</v>
      </c>
      <c r="G23" s="30"/>
    </row>
    <row r="24" customFormat="false" ht="15" hidden="false" customHeight="true" outlineLevel="0" collapsed="false">
      <c r="A24" s="42" t="n">
        <v>4000</v>
      </c>
      <c r="B24" s="37" t="n">
        <f aca="false">(('Microsoft Standalone'!B7+'Activision Standalone'!B6-('Sources &amp; Uses'!B15*B$19*(1-'Sources &amp; Uses'!B17))-('Accretion Dilution'!D9*(1-'Sources &amp; Uses'!B17))+($A24*(1-'Sources &amp; Uses'!B17)))/'Microsoft Standalone'!B9/'Microsoft Standalone'!B8)-1</f>
        <v>0.0179153411847142</v>
      </c>
      <c r="C24" s="37" t="n">
        <f aca="false">(('Microsoft Standalone'!B7+'Activision Standalone'!B6-('Sources &amp; Uses'!B15*C$19*(1-'Sources &amp; Uses'!B17))-('Accretion Dilution'!D9*(1-'Sources &amp; Uses'!B17))+($A24*(1-'Sources &amp; Uses'!B17)))/'Microsoft Standalone'!B9/'Microsoft Standalone'!B8)-1</f>
        <v>0.0109926355916234</v>
      </c>
      <c r="D24" s="37" t="n">
        <f aca="false">(('Microsoft Standalone'!B7+'Activision Standalone'!B6-('Sources &amp; Uses'!B15*D$19*(1-'Sources &amp; Uses'!B17))-('Accretion Dilution'!D9*(1-'Sources &amp; Uses'!B17))+($A24*(1-'Sources &amp; Uses'!B17)))/'Microsoft Standalone'!B9/'Microsoft Standalone'!B8)-1</f>
        <v>0.00406992999853295</v>
      </c>
      <c r="E24" s="37" t="n">
        <f aca="false">(('Microsoft Standalone'!B7+'Activision Standalone'!B6-('Sources &amp; Uses'!B15*E$19*(1-'Sources &amp; Uses'!B17))-('Accretion Dilution'!D9*(1-'Sources &amp; Uses'!B17))+($A24*(1-'Sources &amp; Uses'!B17)))/'Microsoft Standalone'!B9/'Microsoft Standalone'!B8)-1</f>
        <v>-0.00285277559455788</v>
      </c>
      <c r="F24" s="37" t="n">
        <f aca="false">(('Microsoft Standalone'!B7+'Activision Standalone'!B6-('Sources &amp; Uses'!B15*F$19*(1-'Sources &amp; Uses'!B17))-('Accretion Dilution'!D9*(1-'Sources &amp; Uses'!B17))+($A24*(1-'Sources &amp; Uses'!B17)))/'Microsoft Standalone'!B9/'Microsoft Standalone'!B8)-1</f>
        <v>-0.00977548118764848</v>
      </c>
      <c r="G24" s="30"/>
    </row>
    <row r="25" customFormat="false" ht="15" hidden="false" customHeight="true" outlineLevel="0" collapsed="false">
      <c r="A25" s="42" t="n">
        <v>5000</v>
      </c>
      <c r="B25" s="37" t="n">
        <f aca="false">(('Microsoft Standalone'!B7+'Activision Standalone'!B6-('Sources &amp; Uses'!B15*B$19*(1-'Sources &amp; Uses'!B17))-('Accretion Dilution'!D9*(1-'Sources &amp; Uses'!B17))+($A25*(1-'Sources &amp; Uses'!B17)))/'Microsoft Standalone'!B9/'Microsoft Standalone'!B8)-1</f>
        <v>0.0291171301702977</v>
      </c>
      <c r="C25" s="37" t="n">
        <f aca="false">(('Microsoft Standalone'!B7+'Activision Standalone'!B6-('Sources &amp; Uses'!B15*C$19*(1-'Sources &amp; Uses'!B17))-('Accretion Dilution'!D9*(1-'Sources &amp; Uses'!B17))+($A25*(1-'Sources &amp; Uses'!B17)))/'Microsoft Standalone'!B9/'Microsoft Standalone'!B8)-1</f>
        <v>0.022194424577207</v>
      </c>
      <c r="D25" s="37" t="n">
        <f aca="false">(('Microsoft Standalone'!B7+'Activision Standalone'!B6-('Sources &amp; Uses'!B15*D$19*(1-'Sources &amp; Uses'!B17))-('Accretion Dilution'!D9*(1-'Sources &amp; Uses'!B17))+($A25*(1-'Sources &amp; Uses'!B17)))/'Microsoft Standalone'!B9/'Microsoft Standalone'!B8)-1</f>
        <v>0.0152717189841165</v>
      </c>
      <c r="E25" s="37" t="n">
        <f aca="false">(('Microsoft Standalone'!B7+'Activision Standalone'!B6-('Sources &amp; Uses'!B15*E$19*(1-'Sources &amp; Uses'!B17))-('Accretion Dilution'!D9*(1-'Sources &amp; Uses'!B17))+($A25*(1-'Sources &amp; Uses'!B17)))/'Microsoft Standalone'!B9/'Microsoft Standalone'!B8)-1</f>
        <v>0.00834901339102578</v>
      </c>
      <c r="F25" s="37" t="n">
        <f aca="false">(('Microsoft Standalone'!B7+'Activision Standalone'!B6-('Sources &amp; Uses'!B15*F$19*(1-'Sources &amp; Uses'!B17))-('Accretion Dilution'!D9*(1-'Sources &amp; Uses'!B17))+($A25*(1-'Sources &amp; Uses'!B17)))/'Microsoft Standalone'!B9/'Microsoft Standalone'!B8)-1</f>
        <v>0.00142630779793507</v>
      </c>
      <c r="G25" s="30"/>
    </row>
    <row r="26" customFormat="false" ht="15" hidden="false" customHeight="true" outlineLevel="0" collapsed="false">
      <c r="A26" s="42" t="n">
        <v>6000</v>
      </c>
      <c r="B26" s="37" t="n">
        <f aca="false">(('Microsoft Standalone'!B7+'Activision Standalone'!B6-('Sources &amp; Uses'!B15*B$19*(1-'Sources &amp; Uses'!B17))-('Accretion Dilution'!D9*(1-'Sources &amp; Uses'!B17))+($A26*(1-'Sources &amp; Uses'!B17)))/'Microsoft Standalone'!B9/'Microsoft Standalone'!B8)-1</f>
        <v>0.0403189191558815</v>
      </c>
      <c r="C26" s="37" t="n">
        <f aca="false">(('Microsoft Standalone'!B7+'Activision Standalone'!B6-('Sources &amp; Uses'!B15*C$19*(1-'Sources &amp; Uses'!B17))-('Accretion Dilution'!D9*(1-'Sources &amp; Uses'!B17))+($A26*(1-'Sources &amp; Uses'!B17)))/'Microsoft Standalone'!B9/'Microsoft Standalone'!B8)-1</f>
        <v>0.0333962135627908</v>
      </c>
      <c r="D26" s="37" t="n">
        <f aca="false">(('Microsoft Standalone'!B7+'Activision Standalone'!B6-('Sources &amp; Uses'!B15*D$19*(1-'Sources &amp; Uses'!B17))-('Accretion Dilution'!D9*(1-'Sources &amp; Uses'!B17))+($A26*(1-'Sources &amp; Uses'!B17)))/'Microsoft Standalone'!B9/'Microsoft Standalone'!B8)-1</f>
        <v>0.0264735079697001</v>
      </c>
      <c r="E26" s="37" t="n">
        <f aca="false">(('Microsoft Standalone'!B7+'Activision Standalone'!B6-('Sources &amp; Uses'!B15*E$19*(1-'Sources &amp; Uses'!B17))-('Accretion Dilution'!D9*(1-'Sources &amp; Uses'!B17))+($A26*(1-'Sources &amp; Uses'!B17)))/'Microsoft Standalone'!B9/'Microsoft Standalone'!B8)-1</f>
        <v>0.0195508023766096</v>
      </c>
      <c r="F26" s="37" t="n">
        <f aca="false">(('Microsoft Standalone'!B7+'Activision Standalone'!B6-('Sources &amp; Uses'!B15*F$19*(1-'Sources &amp; Uses'!B17))-('Accretion Dilution'!D9*(1-'Sources &amp; Uses'!B17))+($A26*(1-'Sources &amp; Uses'!B17)))/'Microsoft Standalone'!B9/'Microsoft Standalone'!B8)-1</f>
        <v>0.0126280967835188</v>
      </c>
      <c r="G26" s="30"/>
    </row>
    <row r="27" customFormat="false" ht="15" hidden="false" customHeight="true" outlineLevel="0" collapsed="false">
      <c r="A27" s="30"/>
      <c r="B27" s="30"/>
      <c r="C27" s="30"/>
      <c r="D27" s="30"/>
      <c r="E27" s="30"/>
      <c r="F27" s="30"/>
      <c r="G27" s="30"/>
    </row>
    <row r="28" customFormat="false" ht="21.75" hidden="false" customHeight="true" outlineLevel="0" collapsed="false">
      <c r="A28" s="52" t="s">
        <v>205</v>
      </c>
      <c r="B28" s="52"/>
      <c r="C28" s="52"/>
      <c r="D28" s="52"/>
      <c r="E28" s="52"/>
      <c r="F28" s="52"/>
      <c r="G28" s="52"/>
    </row>
    <row r="29" customFormat="false" ht="21.75" hidden="false" customHeight="true" outlineLevel="0" collapsed="false">
      <c r="A29" s="52"/>
      <c r="B29" s="52"/>
      <c r="C29" s="52"/>
      <c r="D29" s="52"/>
      <c r="E29" s="52"/>
      <c r="F29" s="52"/>
      <c r="G29" s="52"/>
    </row>
    <row r="30" customFormat="false" ht="15" hidden="false" customHeight="true" outlineLevel="0" collapsed="false">
      <c r="A30" s="30"/>
      <c r="B30" s="30"/>
      <c r="C30" s="30"/>
      <c r="D30" s="30"/>
      <c r="E30" s="30"/>
      <c r="F30" s="30"/>
      <c r="G30" s="30"/>
    </row>
    <row r="31" customFormat="false" ht="15" hidden="false" customHeight="true" outlineLevel="0" collapsed="false">
      <c r="A31" s="30"/>
      <c r="B31" s="30"/>
      <c r="C31" s="30"/>
      <c r="D31" s="30"/>
      <c r="E31" s="30"/>
      <c r="F31" s="30"/>
      <c r="G31" s="30"/>
    </row>
    <row r="32" customFormat="false" ht="15" hidden="false" customHeight="true" outlineLevel="0" collapsed="false">
      <c r="A32" s="30"/>
      <c r="B32" s="30"/>
      <c r="C32" s="30"/>
      <c r="D32" s="30"/>
      <c r="E32" s="30"/>
      <c r="F32" s="30"/>
      <c r="G32" s="30"/>
    </row>
    <row r="33" customFormat="false" ht="15" hidden="false" customHeight="true" outlineLevel="0" collapsed="false">
      <c r="A33" s="30"/>
      <c r="B33" s="30"/>
      <c r="C33" s="30"/>
      <c r="D33" s="30"/>
      <c r="E33" s="30"/>
      <c r="F33" s="30"/>
      <c r="G33" s="30"/>
    </row>
    <row r="34" customFormat="false" ht="15" hidden="false" customHeight="true" outlineLevel="0" collapsed="false">
      <c r="A34" s="30"/>
      <c r="B34" s="30"/>
      <c r="C34" s="30"/>
      <c r="D34" s="30"/>
      <c r="E34" s="30"/>
      <c r="F34" s="30"/>
      <c r="G34" s="30"/>
    </row>
    <row r="35" customFormat="false" ht="15" hidden="false" customHeight="true" outlineLevel="0" collapsed="false">
      <c r="A35" s="30"/>
      <c r="B35" s="30"/>
      <c r="C35" s="30"/>
      <c r="D35" s="30"/>
      <c r="E35" s="30"/>
      <c r="F35" s="30"/>
      <c r="G35" s="30"/>
    </row>
  </sheetData>
  <mergeCells count="1">
    <mergeCell ref="A2:G2"/>
  </mergeCells>
  <conditionalFormatting sqref="B20:F26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42"/>
    <col collapsed="false" customWidth="true" hidden="false" outlineLevel="0" max="6" min="2" style="7" width="15"/>
    <col collapsed="false" customWidth="true" hidden="false" outlineLevel="0" max="7" min="7" style="7" width="48"/>
  </cols>
  <sheetData>
    <row r="1" customFormat="false" ht="18" hidden="false" customHeight="true" outlineLevel="0" collapsed="false">
      <c r="A1" s="53" t="s">
        <v>206</v>
      </c>
      <c r="B1" s="53"/>
      <c r="C1" s="53"/>
      <c r="D1" s="53"/>
      <c r="E1" s="53"/>
      <c r="F1" s="53"/>
      <c r="G1" s="53"/>
    </row>
    <row r="2" customFormat="false" ht="15" hidden="false" customHeight="true" outlineLevel="0" collapsed="false">
      <c r="A2" s="54" t="s">
        <v>207</v>
      </c>
      <c r="B2" s="54"/>
      <c r="C2" s="54"/>
      <c r="D2" s="54"/>
      <c r="E2" s="54"/>
      <c r="F2" s="54"/>
      <c r="G2" s="54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27.75" hidden="false" customHeight="true" outlineLevel="0" collapsed="false">
      <c r="A4" s="55" t="s">
        <v>65</v>
      </c>
      <c r="B4" s="55" t="s">
        <v>208</v>
      </c>
      <c r="C4" s="55" t="s">
        <v>209</v>
      </c>
      <c r="D4" s="55" t="s">
        <v>210</v>
      </c>
      <c r="E4" s="55" t="s">
        <v>211</v>
      </c>
      <c r="F4" s="55" t="s">
        <v>212</v>
      </c>
      <c r="G4" s="55" t="s">
        <v>213</v>
      </c>
    </row>
    <row r="5" customFormat="false" ht="27.75" hidden="false" customHeight="true" outlineLevel="0" collapsed="false">
      <c r="A5" s="56" t="s">
        <v>214</v>
      </c>
      <c r="B5" s="57" t="n">
        <f aca="false">'Microsoft Standalone'!B5</f>
        <v>211915</v>
      </c>
      <c r="C5" s="57" t="n">
        <f aca="false">'Activision Standalone'!B5</f>
        <v>7528</v>
      </c>
      <c r="D5" s="58" t="n">
        <v>0</v>
      </c>
      <c r="E5" s="59" t="n">
        <f aca="false">SUM(B5:D5)</f>
        <v>219443</v>
      </c>
      <c r="F5" s="59" t="n">
        <f aca="false">E5</f>
        <v>219443</v>
      </c>
      <c r="G5" s="4" t="s">
        <v>215</v>
      </c>
    </row>
    <row r="6" customFormat="false" ht="27.75" hidden="false" customHeight="true" outlineLevel="0" collapsed="false">
      <c r="A6" s="56" t="s">
        <v>216</v>
      </c>
      <c r="B6" s="57" t="n">
        <f aca="false">'Microsoft Standalone'!B6</f>
        <v>88523</v>
      </c>
      <c r="C6" s="57" t="n">
        <f aca="false">'Activision Standalone'!B9</f>
        <v>1670</v>
      </c>
      <c r="D6" s="58" t="n">
        <v>0</v>
      </c>
      <c r="E6" s="59" t="n">
        <f aca="false">SUM(B6:D6)</f>
        <v>90193</v>
      </c>
      <c r="F6" s="59" t="n">
        <f aca="false">E6</f>
        <v>90193</v>
      </c>
      <c r="G6" s="4" t="s">
        <v>217</v>
      </c>
    </row>
    <row r="7" customFormat="false" ht="27.75" hidden="false" customHeight="true" outlineLevel="0" collapsed="false">
      <c r="A7" s="56" t="s">
        <v>218</v>
      </c>
      <c r="B7" s="58" t="n">
        <v>0</v>
      </c>
      <c r="C7" s="58" t="n">
        <v>0</v>
      </c>
      <c r="D7" s="57" t="n">
        <f aca="false">-'Accretion Dilution'!D9</f>
        <v>-3071.625</v>
      </c>
      <c r="E7" s="59" t="n">
        <f aca="false">SUM(B7:D7)</f>
        <v>-3071.625</v>
      </c>
      <c r="F7" s="59" t="n">
        <f aca="false">E7</f>
        <v>-3071.625</v>
      </c>
      <c r="G7" s="4" t="s">
        <v>219</v>
      </c>
    </row>
    <row r="8" customFormat="false" ht="15" hidden="false" customHeight="true" outlineLevel="0" collapsed="false">
      <c r="A8" s="56" t="s">
        <v>220</v>
      </c>
      <c r="B8" s="58" t="n">
        <v>0</v>
      </c>
      <c r="C8" s="58" t="n">
        <v>0</v>
      </c>
      <c r="D8" s="60" t="n">
        <v>0</v>
      </c>
      <c r="E8" s="58" t="n">
        <v>0</v>
      </c>
      <c r="F8" s="59" t="n">
        <f aca="false">'Synergy Breakeven'!B10</f>
        <v>3636.67142777186</v>
      </c>
      <c r="G8" s="4" t="s">
        <v>221</v>
      </c>
    </row>
    <row r="9" customFormat="false" ht="27.75" hidden="false" customHeight="true" outlineLevel="0" collapsed="false">
      <c r="A9" s="61" t="s">
        <v>222</v>
      </c>
      <c r="B9" s="62" t="n">
        <f aca="false">B6</f>
        <v>88523</v>
      </c>
      <c r="C9" s="62" t="n">
        <f aca="false">C6</f>
        <v>1670</v>
      </c>
      <c r="D9" s="62" t="n">
        <f aca="false">D7+D8</f>
        <v>-3071.625</v>
      </c>
      <c r="E9" s="62" t="n">
        <f aca="false">SUM(B9:D9)</f>
        <v>87121.375</v>
      </c>
      <c r="F9" s="62" t="n">
        <f aca="false">B6+C6+D7+F8</f>
        <v>90758.0464277719</v>
      </c>
      <c r="G9" s="4" t="s">
        <v>223</v>
      </c>
    </row>
    <row r="10" customFormat="false" ht="15" hidden="false" customHeight="true" outlineLevel="0" collapsed="false">
      <c r="A10" s="63" t="s">
        <v>74</v>
      </c>
      <c r="B10" s="64" t="n">
        <f aca="false">B9/B5</f>
        <v>0.417728806361041</v>
      </c>
      <c r="C10" s="64" t="n">
        <f aca="false">C9/C5</f>
        <v>0.221838469713071</v>
      </c>
      <c r="D10" s="64"/>
      <c r="E10" s="64" t="n">
        <f aca="false">E9/E5</f>
        <v>0.39701141070802</v>
      </c>
      <c r="F10" s="64" t="n">
        <f aca="false">F9/F5</f>
        <v>0.413583693386309</v>
      </c>
      <c r="G10" s="4" t="s">
        <v>224</v>
      </c>
    </row>
    <row r="11" customFormat="false" ht="15" hidden="false" customHeight="true" outlineLevel="0" collapsed="false">
      <c r="A11" s="56"/>
      <c r="B11" s="4"/>
      <c r="C11" s="4"/>
      <c r="D11" s="56"/>
      <c r="E11" s="56"/>
      <c r="F11" s="56"/>
      <c r="G11" s="4"/>
    </row>
    <row r="12" customFormat="false" ht="27.75" hidden="false" customHeight="true" outlineLevel="0" collapsed="false">
      <c r="A12" s="56" t="s">
        <v>225</v>
      </c>
      <c r="B12" s="57" t="n">
        <f aca="false">'Microsoft Standalone'!B7</f>
        <v>72361</v>
      </c>
      <c r="C12" s="57" t="n">
        <f aca="false">'Activision Standalone'!B6</f>
        <v>1513</v>
      </c>
      <c r="D12" s="59" t="n">
        <v>0</v>
      </c>
      <c r="E12" s="59" t="n">
        <f aca="false">SUM(B12:D12)</f>
        <v>73874</v>
      </c>
      <c r="F12" s="59" t="n">
        <f aca="false">E12</f>
        <v>73874</v>
      </c>
      <c r="G12" s="4" t="s">
        <v>226</v>
      </c>
    </row>
    <row r="13" customFormat="false" ht="27.75" hidden="false" customHeight="true" outlineLevel="0" collapsed="false">
      <c r="A13" s="56" t="s">
        <v>227</v>
      </c>
      <c r="B13" s="58" t="n">
        <v>0</v>
      </c>
      <c r="C13" s="58" t="n">
        <v>0</v>
      </c>
      <c r="D13" s="59" t="n">
        <f aca="false">-'Sources &amp; Uses'!B25</f>
        <v>-2002.84838373773</v>
      </c>
      <c r="E13" s="59" t="n">
        <f aca="false">SUM(B13:D13)</f>
        <v>-2002.84838373773</v>
      </c>
      <c r="F13" s="59" t="n">
        <f aca="false">E13</f>
        <v>-2002.84838373773</v>
      </c>
      <c r="G13" s="4" t="s">
        <v>228</v>
      </c>
    </row>
    <row r="14" customFormat="false" ht="27.75" hidden="false" customHeight="true" outlineLevel="0" collapsed="false">
      <c r="A14" s="56" t="s">
        <v>229</v>
      </c>
      <c r="B14" s="58" t="n">
        <v>0</v>
      </c>
      <c r="C14" s="58" t="n">
        <v>0</v>
      </c>
      <c r="D14" s="59" t="n">
        <f aca="false">-'Accretion Dilution'!B16</f>
        <v>-2488.67280206246</v>
      </c>
      <c r="E14" s="59" t="n">
        <f aca="false">SUM(B14:D14)</f>
        <v>-2488.67280206246</v>
      </c>
      <c r="F14" s="59" t="n">
        <f aca="false">E14</f>
        <v>-2488.67280206246</v>
      </c>
      <c r="G14" s="4" t="s">
        <v>230</v>
      </c>
    </row>
    <row r="15" customFormat="false" ht="15" hidden="false" customHeight="true" outlineLevel="0" collapsed="false">
      <c r="A15" s="56" t="s">
        <v>231</v>
      </c>
      <c r="B15" s="58" t="n">
        <v>0</v>
      </c>
      <c r="C15" s="58" t="n">
        <v>0</v>
      </c>
      <c r="D15" s="59" t="n">
        <v>0</v>
      </c>
      <c r="E15" s="59" t="n">
        <v>0</v>
      </c>
      <c r="F15" s="59" t="n">
        <f aca="false">F8*(1-'Sources &amp; Uses'!B17)</f>
        <v>2946.48118580017</v>
      </c>
      <c r="G15" s="4" t="s">
        <v>232</v>
      </c>
    </row>
    <row r="16" customFormat="false" ht="15" hidden="false" customHeight="true" outlineLevel="0" collapsed="false">
      <c r="A16" s="61" t="s">
        <v>233</v>
      </c>
      <c r="B16" s="65" t="n">
        <f aca="false">B12</f>
        <v>72361</v>
      </c>
      <c r="C16" s="65" t="n">
        <f aca="false">C12</f>
        <v>1513</v>
      </c>
      <c r="D16" s="62" t="n">
        <f aca="false">D13+D14+D15</f>
        <v>-4491.52118580018</v>
      </c>
      <c r="E16" s="62" t="n">
        <f aca="false">SUM(B16:D16)</f>
        <v>69382.4788141998</v>
      </c>
      <c r="F16" s="62" t="n">
        <f aca="false">B12+C12+D13+D14+F15</f>
        <v>72328.96</v>
      </c>
      <c r="G16" s="4" t="s">
        <v>234</v>
      </c>
    </row>
    <row r="17" customFormat="false" ht="27.75" hidden="false" customHeight="true" outlineLevel="0" collapsed="false">
      <c r="A17" s="63" t="s">
        <v>235</v>
      </c>
      <c r="B17" s="57" t="n">
        <f aca="false">'Microsoft Standalone'!B9</f>
        <v>7472</v>
      </c>
      <c r="C17" s="58" t="n">
        <v>0</v>
      </c>
      <c r="D17" s="58" t="n">
        <v>0</v>
      </c>
      <c r="E17" s="59" t="n">
        <f aca="false">B17</f>
        <v>7472</v>
      </c>
      <c r="F17" s="59" t="n">
        <f aca="false">B17</f>
        <v>7472</v>
      </c>
      <c r="G17" s="4" t="s">
        <v>236</v>
      </c>
    </row>
    <row r="18" customFormat="false" ht="15" hidden="false" customHeight="true" outlineLevel="0" collapsed="false">
      <c r="A18" s="63" t="s">
        <v>237</v>
      </c>
      <c r="B18" s="66" t="n">
        <f aca="false">'Microsoft Standalone'!B8</f>
        <v>9.68</v>
      </c>
      <c r="C18" s="67"/>
      <c r="D18" s="67"/>
      <c r="E18" s="68" t="n">
        <f aca="false">E16/E17</f>
        <v>9.285663652864</v>
      </c>
      <c r="F18" s="68" t="n">
        <f aca="false">F16/F17</f>
        <v>9.68</v>
      </c>
      <c r="G18" s="4" t="s">
        <v>238</v>
      </c>
    </row>
    <row r="19" customFormat="false" ht="27.75" hidden="false" customHeight="true" outlineLevel="0" collapsed="false">
      <c r="A19" s="63" t="s">
        <v>239</v>
      </c>
      <c r="B19" s="4"/>
      <c r="C19" s="4"/>
      <c r="D19" s="4"/>
      <c r="E19" s="64" t="n">
        <f aca="false">E18/'Microsoft Standalone'!B8-1</f>
        <v>-0.0407372259438016</v>
      </c>
      <c r="F19" s="64" t="n">
        <f aca="false">F18/'Microsoft Standalone'!B8-1</f>
        <v>0</v>
      </c>
      <c r="G19" s="4" t="s">
        <v>240</v>
      </c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</row>
    <row r="22" customFormat="false" ht="15" hidden="false" customHeight="true" outlineLevel="0" collapsed="false">
      <c r="A22" s="69" t="s">
        <v>241</v>
      </c>
      <c r="B22" s="69"/>
      <c r="C22" s="69"/>
      <c r="D22" s="69"/>
      <c r="E22" s="69"/>
      <c r="F22" s="69"/>
      <c r="G22" s="69"/>
    </row>
    <row r="23" customFormat="false" ht="27.75" hidden="false" customHeight="true" outlineLevel="0" collapsed="false">
      <c r="A23" s="4" t="s">
        <v>242</v>
      </c>
      <c r="B23" s="70" t="n">
        <f aca="false">'Accretion Dilution'!B22</f>
        <v>-0.0407372259438016</v>
      </c>
      <c r="C23" s="4"/>
      <c r="D23" s="4"/>
      <c r="E23" s="4"/>
      <c r="F23" s="4"/>
      <c r="G23" s="4" t="s">
        <v>243</v>
      </c>
    </row>
    <row r="24" customFormat="false" ht="27.75" hidden="false" customHeight="true" outlineLevel="0" collapsed="false">
      <c r="A24" s="4" t="s">
        <v>244</v>
      </c>
      <c r="B24" s="71" t="n">
        <f aca="false">F19</f>
        <v>0</v>
      </c>
      <c r="C24" s="4"/>
      <c r="D24" s="4"/>
      <c r="E24" s="4"/>
      <c r="F24" s="4"/>
      <c r="G24" s="4" t="s">
        <v>245</v>
      </c>
    </row>
    <row r="25" customFormat="false" ht="54.75" hidden="false" customHeight="true" outlineLevel="0" collapsed="false">
      <c r="A25" s="4" t="s">
        <v>246</v>
      </c>
      <c r="B25" s="4"/>
      <c r="C25" s="4"/>
      <c r="D25" s="4"/>
      <c r="E25" s="4"/>
      <c r="F25" s="4"/>
      <c r="G25" s="4" t="s">
        <v>247</v>
      </c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</row>
    <row r="27" customFormat="false" ht="15" hidden="false" customHeight="true" outlineLevel="0" collapsed="false">
      <c r="A27" s="72" t="s">
        <v>248</v>
      </c>
      <c r="B27" s="73"/>
      <c r="C27" s="73"/>
      <c r="D27" s="73"/>
      <c r="E27" s="73"/>
      <c r="F27" s="73"/>
      <c r="G27" s="73"/>
    </row>
    <row r="28" customFormat="false" ht="54.75" hidden="false" customHeight="true" outlineLevel="0" collapsed="false">
      <c r="A28" s="74" t="s">
        <v>249</v>
      </c>
      <c r="B28" s="74"/>
      <c r="C28" s="74"/>
      <c r="D28" s="74"/>
      <c r="E28" s="74"/>
      <c r="F28" s="74"/>
      <c r="G28" s="7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</row>
    <row r="30" customFormat="false" ht="15" hidden="false" customHeight="true" outlineLevel="0" collapsed="false">
      <c r="A30" s="75" t="s">
        <v>250</v>
      </c>
      <c r="B30" s="4"/>
      <c r="C30" s="4"/>
      <c r="D30" s="4"/>
      <c r="E30" s="4"/>
      <c r="F30" s="4"/>
      <c r="G30" s="4"/>
    </row>
    <row r="31" customFormat="false" ht="15" hidden="false" customHeight="true" outlineLevel="0" collapsed="false">
      <c r="A31" s="12" t="s">
        <v>111</v>
      </c>
      <c r="B31" s="12" t="s">
        <v>22</v>
      </c>
      <c r="C31" s="12" t="s">
        <v>51</v>
      </c>
    </row>
    <row r="32" customFormat="false" ht="15" hidden="false" customHeight="true" outlineLevel="0" collapsed="false">
      <c r="A32" s="13" t="s">
        <v>251</v>
      </c>
      <c r="B32" s="76" t="n">
        <v>0.1</v>
      </c>
      <c r="C32" s="15" t="s">
        <v>252</v>
      </c>
    </row>
    <row r="33" customFormat="false" ht="27.75" hidden="false" customHeight="true" outlineLevel="0" collapsed="false">
      <c r="A33" s="13" t="s">
        <v>253</v>
      </c>
      <c r="B33" s="76" t="n">
        <v>0.08</v>
      </c>
      <c r="C33" s="15" t="s">
        <v>254</v>
      </c>
    </row>
    <row r="34" customFormat="false" ht="27.75" hidden="false" customHeight="true" outlineLevel="0" collapsed="false">
      <c r="A34" s="13" t="s">
        <v>255</v>
      </c>
      <c r="B34" s="77" t="n">
        <f aca="false">('Microsoft Standalone'!B6+'Activision Standalone'!B9)/('Microsoft Standalone'!B5+'Activision Standalone'!B5)</f>
        <v>0.411008781323624</v>
      </c>
      <c r="C34" s="78" t="s">
        <v>256</v>
      </c>
    </row>
    <row r="35" customFormat="false" ht="15" hidden="false" customHeight="true" outlineLevel="0" collapsed="false">
      <c r="A35" s="13" t="s">
        <v>257</v>
      </c>
      <c r="B35" s="77" t="n">
        <f aca="false">'Sources &amp; Uses'!B17</f>
        <v>0.189786252533283</v>
      </c>
      <c r="C35" s="15" t="s">
        <v>258</v>
      </c>
    </row>
    <row r="36" customFormat="false" ht="15" hidden="false" customHeight="true" outlineLevel="0" collapsed="false">
      <c r="A36" s="79"/>
      <c r="B36" s="79"/>
      <c r="C36" s="79"/>
      <c r="D36" s="79"/>
      <c r="E36" s="79"/>
    </row>
    <row r="37" customFormat="false" ht="15" hidden="false" customHeight="true" outlineLevel="0" collapsed="false">
      <c r="A37" s="12" t="s">
        <v>65</v>
      </c>
      <c r="B37" s="80" t="s">
        <v>259</v>
      </c>
      <c r="C37" s="80" t="s">
        <v>260</v>
      </c>
      <c r="D37" s="80" t="s">
        <v>261</v>
      </c>
      <c r="E37" s="80" t="s">
        <v>262</v>
      </c>
      <c r="F37" s="81" t="s">
        <v>263</v>
      </c>
    </row>
    <row r="38" customFormat="false" ht="15" hidden="false" customHeight="true" outlineLevel="0" collapsed="false">
      <c r="A38" s="13" t="s">
        <v>264</v>
      </c>
      <c r="B38" s="81" t="n">
        <f aca="false">'Microsoft Standalone'!B5</f>
        <v>211915</v>
      </c>
      <c r="C38" s="81" t="n">
        <f aca="false">B38*(1+$B$32)</f>
        <v>233106.5</v>
      </c>
      <c r="D38" s="81" t="n">
        <f aca="false">C38*(1+$B$32)</f>
        <v>256417.15</v>
      </c>
      <c r="E38" s="81" t="n">
        <f aca="false">D38*(1+$B$32)</f>
        <v>282058.865</v>
      </c>
      <c r="F38" s="81" t="n">
        <f aca="false">E38*(1+$B$32)</f>
        <v>310264.7515</v>
      </c>
    </row>
    <row r="39" customFormat="false" ht="15" hidden="false" customHeight="true" outlineLevel="0" collapsed="false">
      <c r="A39" s="13" t="s">
        <v>265</v>
      </c>
      <c r="B39" s="81" t="n">
        <f aca="false">'Activision Standalone'!B5</f>
        <v>7528</v>
      </c>
      <c r="C39" s="81" t="n">
        <f aca="false">B39*(1+$B$33)</f>
        <v>8130.24</v>
      </c>
      <c r="D39" s="81" t="n">
        <f aca="false">C39*(1+$B$33)</f>
        <v>8780.6592</v>
      </c>
      <c r="E39" s="81" t="n">
        <f aca="false">D39*(1+$B$33)</f>
        <v>9483.111936</v>
      </c>
      <c r="F39" s="81" t="n">
        <f aca="false">E39*(1+$B$33)</f>
        <v>10241.76089088</v>
      </c>
    </row>
    <row r="40" customFormat="false" ht="15" hidden="false" customHeight="true" outlineLevel="0" collapsed="false">
      <c r="A40" s="17" t="s">
        <v>266</v>
      </c>
      <c r="B40" s="82" t="n">
        <f aca="false">B38+B39</f>
        <v>219443</v>
      </c>
      <c r="C40" s="82" t="n">
        <f aca="false">C38+C39</f>
        <v>241236.74</v>
      </c>
      <c r="D40" s="82" t="n">
        <f aca="false">D38+D39</f>
        <v>265197.8092</v>
      </c>
      <c r="E40" s="82" t="n">
        <f aca="false">E38+E39</f>
        <v>291541.976936</v>
      </c>
      <c r="F40" s="82" t="n">
        <f aca="false">F38+F39</f>
        <v>320506.51239088</v>
      </c>
    </row>
    <row r="41" customFormat="false" ht="15" hidden="false" customHeight="true" outlineLevel="0" collapsed="false">
      <c r="A41" s="13" t="s">
        <v>267</v>
      </c>
      <c r="B41" s="81" t="n">
        <f aca="false">B40*$B$34</f>
        <v>90193</v>
      </c>
      <c r="C41" s="81" t="n">
        <f aca="false">C40*$B$34</f>
        <v>99150.4185178839</v>
      </c>
      <c r="D41" s="81" t="n">
        <f aca="false">D40*$B$34</f>
        <v>108998.628368987</v>
      </c>
      <c r="E41" s="81" t="n">
        <f aca="false">E40*$B$34</f>
        <v>119826.312645145</v>
      </c>
      <c r="F41" s="81" t="n">
        <f aca="false">F40*$B$34</f>
        <v>131730.991064061</v>
      </c>
      <c r="G41" s="20" t="s">
        <v>268</v>
      </c>
    </row>
    <row r="42" customFormat="false" ht="15" hidden="false" customHeight="true" outlineLevel="0" collapsed="false">
      <c r="A42" s="13"/>
      <c r="B42" s="81"/>
      <c r="C42" s="81"/>
      <c r="D42" s="81"/>
      <c r="E42" s="81"/>
      <c r="F42" s="81"/>
    </row>
    <row r="43" customFormat="false" ht="15" hidden="false" customHeight="true" outlineLevel="0" collapsed="false">
      <c r="A43" s="27" t="s">
        <v>269</v>
      </c>
      <c r="B43" s="81"/>
      <c r="C43" s="81"/>
      <c r="D43" s="81"/>
      <c r="E43" s="81"/>
      <c r="F43" s="81"/>
    </row>
    <row r="44" customFormat="false" ht="15" hidden="false" customHeight="true" outlineLevel="0" collapsed="false">
      <c r="A44" s="13" t="s">
        <v>270</v>
      </c>
      <c r="B44" s="81" t="n">
        <f aca="false">'Accretion Dilution'!D6</f>
        <v>484.125</v>
      </c>
      <c r="C44" s="81" t="n">
        <f aca="false">'Accretion Dilution'!D6</f>
        <v>484.125</v>
      </c>
      <c r="D44" s="81" t="n">
        <f aca="false">'Accretion Dilution'!D6</f>
        <v>484.125</v>
      </c>
      <c r="E44" s="81" t="n">
        <f aca="false">'Accretion Dilution'!D6</f>
        <v>484.125</v>
      </c>
      <c r="F44" s="81" t="n">
        <f aca="false">'Accretion Dilution'!D6</f>
        <v>484.125</v>
      </c>
    </row>
    <row r="45" customFormat="false" ht="15" hidden="false" customHeight="true" outlineLevel="0" collapsed="false">
      <c r="A45" s="13" t="s">
        <v>271</v>
      </c>
      <c r="B45" s="81" t="n">
        <f aca="false">'Accretion Dilution'!D7</f>
        <v>2422.25</v>
      </c>
      <c r="C45" s="81" t="n">
        <f aca="false">'Accretion Dilution'!D7</f>
        <v>2422.25</v>
      </c>
      <c r="D45" s="81" t="n">
        <f aca="false">'Accretion Dilution'!D7</f>
        <v>2422.25</v>
      </c>
      <c r="E45" s="81" t="n">
        <f aca="false">'Accretion Dilution'!D7</f>
        <v>2422.25</v>
      </c>
      <c r="F45" s="81" t="n">
        <v>0</v>
      </c>
    </row>
    <row r="46" customFormat="false" ht="15" hidden="false" customHeight="true" outlineLevel="0" collapsed="false">
      <c r="A46" s="13" t="s">
        <v>272</v>
      </c>
      <c r="B46" s="81" t="n">
        <f aca="false">'Accretion Dilution'!D8</f>
        <v>165.25</v>
      </c>
      <c r="C46" s="81" t="n">
        <f aca="false">'Accretion Dilution'!D8</f>
        <v>165.25</v>
      </c>
      <c r="D46" s="81" t="n">
        <f aca="false">'Accretion Dilution'!D8</f>
        <v>165.25</v>
      </c>
      <c r="E46" s="81" t="n">
        <f aca="false">'Accretion Dilution'!D8</f>
        <v>165.25</v>
      </c>
      <c r="F46" s="81" t="n">
        <v>0</v>
      </c>
    </row>
    <row r="47" customFormat="false" ht="15" hidden="false" customHeight="true" outlineLevel="0" collapsed="false">
      <c r="A47" s="17" t="s">
        <v>273</v>
      </c>
      <c r="B47" s="82" t="n">
        <f aca="false">-(B44+B45+B46)</f>
        <v>-3071.625</v>
      </c>
      <c r="C47" s="82" t="n">
        <f aca="false">-(C44+C45+C46)</f>
        <v>-3071.625</v>
      </c>
      <c r="D47" s="82" t="n">
        <f aca="false">-(D44+D45+D46)</f>
        <v>-3071.625</v>
      </c>
      <c r="E47" s="82" t="n">
        <f aca="false">-(E44+E45+E46)</f>
        <v>-3071.625</v>
      </c>
      <c r="F47" s="82" t="n">
        <f aca="false">-(F44+F45+F46)</f>
        <v>-484.125</v>
      </c>
      <c r="G47" s="20"/>
    </row>
    <row r="48" customFormat="false" ht="15" hidden="false" customHeight="true" outlineLevel="0" collapsed="false">
      <c r="A48" s="13"/>
      <c r="B48" s="81"/>
      <c r="C48" s="81"/>
      <c r="D48" s="81"/>
      <c r="E48" s="81"/>
      <c r="F48" s="81"/>
    </row>
    <row r="49" customFormat="false" ht="15" hidden="false" customHeight="true" outlineLevel="0" collapsed="false">
      <c r="A49" s="3" t="s">
        <v>274</v>
      </c>
    </row>
    <row r="50" customFormat="false" ht="15" hidden="false" customHeight="true" outlineLevel="0" collapsed="false">
      <c r="A50" s="13" t="s">
        <v>275</v>
      </c>
      <c r="B50" s="76" t="n">
        <v>0.25</v>
      </c>
      <c r="C50" s="76" t="n">
        <v>0.6</v>
      </c>
      <c r="D50" s="76" t="n">
        <v>0.85</v>
      </c>
      <c r="E50" s="76" t="n">
        <v>1</v>
      </c>
      <c r="F50" s="76" t="n">
        <v>1</v>
      </c>
      <c r="G50" s="20" t="s">
        <v>276</v>
      </c>
    </row>
    <row r="51" customFormat="false" ht="15" hidden="false" customHeight="true" outlineLevel="0" collapsed="false">
      <c r="A51" s="13" t="s">
        <v>220</v>
      </c>
      <c r="B51" s="81" t="n">
        <f aca="false">B50*'Synergy Breakeven'!$B$10</f>
        <v>909.167856942964</v>
      </c>
      <c r="C51" s="81" t="n">
        <f aca="false">C50*'Synergy Breakeven'!$B$10</f>
        <v>2182.00285666311</v>
      </c>
      <c r="D51" s="81" t="n">
        <f aca="false">D50*'Synergy Breakeven'!$B$10</f>
        <v>3091.17071360608</v>
      </c>
      <c r="E51" s="81" t="n">
        <f aca="false">E50*'Synergy Breakeven'!$B$10</f>
        <v>3636.67142777186</v>
      </c>
      <c r="F51" s="81" t="n">
        <f aca="false">F50*'Synergy Breakeven'!$B$10</f>
        <v>3636.67142777186</v>
      </c>
      <c r="G51" s="20" t="s">
        <v>277</v>
      </c>
    </row>
    <row r="52" customFormat="false" ht="15" hidden="false" customHeight="true" outlineLevel="0" collapsed="false">
      <c r="A52" s="13"/>
      <c r="B52" s="81"/>
      <c r="C52" s="81"/>
      <c r="D52" s="81"/>
      <c r="E52" s="81"/>
      <c r="F52" s="81"/>
    </row>
    <row r="53" customFormat="false" ht="15" hidden="false" customHeight="true" outlineLevel="0" collapsed="false">
      <c r="A53" s="17" t="s">
        <v>222</v>
      </c>
      <c r="B53" s="82" t="n">
        <f aca="false">B41+B47+B51</f>
        <v>88030.542856943</v>
      </c>
      <c r="C53" s="82" t="n">
        <f aca="false">C41+C47+C51</f>
        <v>98260.796374547</v>
      </c>
      <c r="D53" s="82" t="n">
        <f aca="false">D41+D47+D51</f>
        <v>109018.174082593</v>
      </c>
      <c r="E53" s="82" t="n">
        <f aca="false">E41+E47+E51</f>
        <v>120391.359072917</v>
      </c>
      <c r="F53" s="82" t="n">
        <f aca="false">F41+F47+F51</f>
        <v>134883.537491832</v>
      </c>
    </row>
    <row r="54" customFormat="false" ht="27.75" hidden="false" customHeight="true" outlineLevel="0" collapsed="false">
      <c r="A54" s="27" t="s">
        <v>278</v>
      </c>
      <c r="B54" s="81"/>
      <c r="C54" s="81"/>
      <c r="D54" s="81"/>
      <c r="E54" s="81"/>
      <c r="F54" s="81"/>
      <c r="G54" s="20"/>
    </row>
    <row r="55" customFormat="false" ht="49.5" hidden="false" customHeight="true" outlineLevel="0" collapsed="false">
      <c r="A55" s="78" t="s">
        <v>279</v>
      </c>
      <c r="B55" s="78"/>
      <c r="C55" s="78"/>
      <c r="D55" s="78"/>
      <c r="E55" s="78"/>
      <c r="F55" s="78"/>
      <c r="G55" s="78"/>
    </row>
    <row r="56" customFormat="false" ht="15" hidden="false" customHeight="true" outlineLevel="0" collapsed="false">
      <c r="A56" s="13"/>
      <c r="B56" s="81"/>
      <c r="C56" s="81"/>
      <c r="D56" s="81"/>
      <c r="E56" s="81"/>
      <c r="F56" s="81"/>
    </row>
    <row r="57" customFormat="false" ht="27.75" hidden="false" customHeight="true" outlineLevel="0" collapsed="false">
      <c r="A57" s="13" t="s">
        <v>280</v>
      </c>
      <c r="B57" s="28" t="n">
        <f aca="false">'Activision Standalone'!B15</f>
        <v>0.132454128440367</v>
      </c>
      <c r="C57" s="83" t="n">
        <v>0.155</v>
      </c>
      <c r="D57" s="28" t="n">
        <f aca="false">$B$35</f>
        <v>0.189786252533283</v>
      </c>
      <c r="E57" s="28" t="n">
        <f aca="false">$B$35</f>
        <v>0.189786252533283</v>
      </c>
      <c r="F57" s="28" t="n">
        <f aca="false">$B$35</f>
        <v>0.189786252533283</v>
      </c>
      <c r="G57" s="20" t="s">
        <v>281</v>
      </c>
    </row>
    <row r="58" customFormat="false" ht="15" hidden="false" customHeight="true" outlineLevel="0" collapsed="false">
      <c r="A58" s="13"/>
      <c r="B58" s="84"/>
      <c r="C58" s="84"/>
      <c r="D58" s="84"/>
      <c r="E58" s="84"/>
      <c r="F58" s="84"/>
    </row>
    <row r="59" customFormat="false" ht="27.75" hidden="false" customHeight="true" outlineLevel="0" collapsed="false">
      <c r="A59" s="13" t="s">
        <v>282</v>
      </c>
      <c r="B59" s="81" t="n">
        <f aca="false">'Microsoft Standalone'!B7</f>
        <v>72361</v>
      </c>
      <c r="C59" s="81" t="n">
        <f aca="false">B59*(1+$B$32)</f>
        <v>79597.1</v>
      </c>
      <c r="D59" s="81" t="n">
        <f aca="false">C59*(1+$B$32)</f>
        <v>87556.81</v>
      </c>
      <c r="E59" s="81" t="n">
        <f aca="false">D59*(1+$B$32)</f>
        <v>96312.491</v>
      </c>
      <c r="F59" s="81" t="n">
        <f aca="false">E59*(1+$B$32)</f>
        <v>105943.7401</v>
      </c>
      <c r="G59" s="20" t="s">
        <v>283</v>
      </c>
    </row>
    <row r="60" customFormat="false" ht="15" hidden="false" customHeight="true" outlineLevel="0" collapsed="false">
      <c r="A60" s="13" t="s">
        <v>284</v>
      </c>
      <c r="B60" s="81" t="n">
        <f aca="false">'Activision Standalone'!B13</f>
        <v>1744</v>
      </c>
      <c r="C60" s="81" t="n">
        <f aca="false">B60*(1+$B$33)</f>
        <v>1883.52</v>
      </c>
      <c r="D60" s="81" t="n">
        <f aca="false">C60*(1+$B$33)</f>
        <v>2034.2016</v>
      </c>
      <c r="E60" s="81" t="n">
        <f aca="false">D60*(1+$B$33)</f>
        <v>2196.937728</v>
      </c>
      <c r="F60" s="81" t="n">
        <f aca="false">E60*(1+$B$33)</f>
        <v>2372.69274624</v>
      </c>
      <c r="G60" s="20" t="s">
        <v>285</v>
      </c>
    </row>
    <row r="61" customFormat="false" ht="15" hidden="false" customHeight="true" outlineLevel="0" collapsed="false">
      <c r="A61" s="13" t="s">
        <v>286</v>
      </c>
      <c r="B61" s="81" t="n">
        <f aca="false">B60*(1-B57)</f>
        <v>1513</v>
      </c>
      <c r="C61" s="81" t="n">
        <f aca="false">C60*(1-C57)</f>
        <v>1591.5744</v>
      </c>
      <c r="D61" s="81" t="n">
        <f aca="false">D60*(1-D57)</f>
        <v>1648.13810143879</v>
      </c>
      <c r="E61" s="81" t="n">
        <f aca="false">E60*(1-E57)</f>
        <v>1779.9891495539</v>
      </c>
      <c r="F61" s="81" t="n">
        <f aca="false">F60*(1-F57)</f>
        <v>1922.38828151821</v>
      </c>
    </row>
    <row r="62" customFormat="false" ht="27.75" hidden="false" customHeight="true" outlineLevel="0" collapsed="false">
      <c r="A62" s="13"/>
      <c r="B62" s="81"/>
      <c r="C62" s="81"/>
      <c r="D62" s="81"/>
      <c r="E62" s="81"/>
      <c r="F62" s="81"/>
      <c r="G62" s="20"/>
    </row>
    <row r="63" customFormat="false" ht="15" hidden="false" customHeight="true" outlineLevel="0" collapsed="false">
      <c r="A63" s="27" t="s">
        <v>287</v>
      </c>
      <c r="B63" s="85"/>
      <c r="C63" s="85"/>
      <c r="D63" s="85"/>
      <c r="E63" s="85"/>
      <c r="F63" s="85"/>
    </row>
    <row r="64" customFormat="false" ht="15" hidden="false" customHeight="true" outlineLevel="0" collapsed="false">
      <c r="A64" s="13" t="s">
        <v>288</v>
      </c>
      <c r="B64" s="81" t="n">
        <f aca="false">-'Sources &amp; Uses'!B23</f>
        <v>-2472</v>
      </c>
      <c r="C64" s="81" t="n">
        <f aca="false">-'Sources &amp; Uses'!B23</f>
        <v>-2472</v>
      </c>
      <c r="D64" s="81" t="n">
        <f aca="false">-'Sources &amp; Uses'!B23</f>
        <v>-2472</v>
      </c>
      <c r="E64" s="81" t="n">
        <f aca="false">-'Sources &amp; Uses'!B23</f>
        <v>-2472</v>
      </c>
      <c r="F64" s="81" t="n">
        <f aca="false">-'Sources &amp; Uses'!B23</f>
        <v>-2472</v>
      </c>
    </row>
    <row r="65" customFormat="false" ht="49.5" hidden="false" customHeight="true" outlineLevel="0" collapsed="false">
      <c r="A65" s="86" t="s">
        <v>289</v>
      </c>
      <c r="B65" s="81" t="n">
        <f aca="false">B64*(1-$B$35)</f>
        <v>-2002.84838373773</v>
      </c>
      <c r="C65" s="81" t="n">
        <f aca="false">C64*(1-$B$35)</f>
        <v>-2002.84838373773</v>
      </c>
      <c r="D65" s="81" t="n">
        <f aca="false">D64*(1-$B$35)</f>
        <v>-2002.84838373773</v>
      </c>
      <c r="E65" s="81" t="n">
        <f aca="false">E64*(1-$B$35)</f>
        <v>-2002.84838373773</v>
      </c>
      <c r="F65" s="81" t="n">
        <f aca="false">F64*(1-$B$35)</f>
        <v>-2002.84838373773</v>
      </c>
    </row>
    <row r="66" customFormat="false" ht="15" hidden="false" customHeight="true" outlineLevel="0" collapsed="false">
      <c r="A66" s="13" t="s">
        <v>229</v>
      </c>
      <c r="B66" s="81" t="n">
        <f aca="false">B47*(1-$B$35)</f>
        <v>-2488.67280206246</v>
      </c>
      <c r="C66" s="81" t="n">
        <f aca="false">C47*(1-$B$35)</f>
        <v>-2488.67280206246</v>
      </c>
      <c r="D66" s="81" t="n">
        <f aca="false">D47*(1-$B$35)</f>
        <v>-2488.67280206246</v>
      </c>
      <c r="E66" s="81" t="n">
        <f aca="false">E47*(1-$B$35)</f>
        <v>-2488.67280206246</v>
      </c>
      <c r="F66" s="81" t="n">
        <f aca="false">F47*(1-$B$35)</f>
        <v>-392.244730492325</v>
      </c>
      <c r="G66" s="20" t="s">
        <v>290</v>
      </c>
    </row>
    <row r="67" customFormat="false" ht="15" hidden="false" customHeight="true" outlineLevel="0" collapsed="false">
      <c r="A67" s="13" t="s">
        <v>231</v>
      </c>
      <c r="B67" s="81" t="n">
        <f aca="false">B51*(1-$B$35)</f>
        <v>736.620296450043</v>
      </c>
      <c r="C67" s="81" t="n">
        <f aca="false">C51*(1-$B$35)</f>
        <v>1767.8887114801</v>
      </c>
      <c r="D67" s="81" t="n">
        <f aca="false">D51*(1-$B$35)</f>
        <v>2504.50900793015</v>
      </c>
      <c r="E67" s="81" t="n">
        <f aca="false">E51*(1-$B$35)</f>
        <v>2946.48118580017</v>
      </c>
      <c r="F67" s="81" t="n">
        <f aca="false">F51*(1-$B$35)</f>
        <v>2946.48118580017</v>
      </c>
      <c r="G67" s="20" t="s">
        <v>291</v>
      </c>
    </row>
    <row r="68" customFormat="false" ht="15" hidden="false" customHeight="true" outlineLevel="0" collapsed="false">
      <c r="A68" s="3"/>
    </row>
    <row r="69" customFormat="false" ht="15" hidden="false" customHeight="true" outlineLevel="0" collapsed="false">
      <c r="A69" s="87" t="s">
        <v>292</v>
      </c>
      <c r="B69" s="88" t="n">
        <f aca="false">B59+B61+B65+B66+B67</f>
        <v>70119.0991106499</v>
      </c>
      <c r="C69" s="88" t="n">
        <f aca="false">C59+C61+C65+C66+C67</f>
        <v>78465.0419256799</v>
      </c>
      <c r="D69" s="88" t="n">
        <f aca="false">D59+D61+D65+D66+D67</f>
        <v>87217.9359235688</v>
      </c>
      <c r="E69" s="82" t="n">
        <f aca="false">E59+E61+E65+E66+E67</f>
        <v>96547.4401495539</v>
      </c>
      <c r="F69" s="82" t="n">
        <f aca="false">F59+F61+F65+F66+F67</f>
        <v>108417.516453088</v>
      </c>
    </row>
    <row r="70" customFormat="false" ht="15" hidden="false" customHeight="true" outlineLevel="0" collapsed="false">
      <c r="A70" s="13" t="s">
        <v>235</v>
      </c>
      <c r="B70" s="84" t="n">
        <f aca="false">'Microsoft Standalone'!$B$9</f>
        <v>7472</v>
      </c>
      <c r="C70" s="84" t="n">
        <f aca="false">'Microsoft Standalone'!$B$9</f>
        <v>7472</v>
      </c>
      <c r="D70" s="84" t="n">
        <f aca="false">'Microsoft Standalone'!$B$9</f>
        <v>7472</v>
      </c>
      <c r="E70" s="84" t="n">
        <f aca="false">'Microsoft Standalone'!$B$9</f>
        <v>7472</v>
      </c>
      <c r="F70" s="84" t="n">
        <f aca="false">'Microsoft Standalone'!$B$9</f>
        <v>7472</v>
      </c>
    </row>
    <row r="71" customFormat="false" ht="15" hidden="false" customHeight="true" outlineLevel="0" collapsed="false">
      <c r="A71" s="17" t="s">
        <v>237</v>
      </c>
      <c r="B71" s="89" t="n">
        <f aca="false">B69/B70</f>
        <v>9.384247739648</v>
      </c>
      <c r="C71" s="89" t="n">
        <f aca="false">C69/C70</f>
        <v>10.5012101078265</v>
      </c>
      <c r="D71" s="89" t="n">
        <f aca="false">D69/D70</f>
        <v>11.672635964075</v>
      </c>
      <c r="E71" s="89" t="n">
        <f aca="false">E69/E70</f>
        <v>12.9212312833985</v>
      </c>
      <c r="F71" s="89" t="n">
        <f aca="false">F69/F70</f>
        <v>14.5098389257345</v>
      </c>
    </row>
    <row r="73" customFormat="false" ht="39.75" hidden="false" customHeight="true" outlineLevel="0" collapsed="false">
      <c r="A73" s="75" t="s">
        <v>293</v>
      </c>
    </row>
    <row r="74" customFormat="false" ht="15" hidden="false" customHeight="true" outlineLevel="0" collapsed="false">
      <c r="A74" s="90" t="s">
        <v>294</v>
      </c>
      <c r="B74" s="90"/>
      <c r="C74" s="90"/>
      <c r="D74" s="90"/>
      <c r="E74" s="90"/>
      <c r="F74" s="90"/>
      <c r="G74" s="90"/>
    </row>
    <row r="75" customFormat="false" ht="15" hidden="false" customHeight="true" outlineLevel="0" collapsed="false">
      <c r="A75" s="17" t="s">
        <v>295</v>
      </c>
      <c r="B75" s="89" t="n">
        <f aca="false">B59/B70</f>
        <v>9.68428800856531</v>
      </c>
      <c r="C75" s="89" t="n">
        <f aca="false">C59/C70</f>
        <v>10.6527168094218</v>
      </c>
      <c r="D75" s="89" t="n">
        <f aca="false">D59/D70</f>
        <v>11.717988490364</v>
      </c>
      <c r="E75" s="89" t="n">
        <f aca="false">E59/E70</f>
        <v>12.8897873394004</v>
      </c>
      <c r="F75" s="89" t="n">
        <f aca="false">F59/F70</f>
        <v>14.1787660733405</v>
      </c>
    </row>
    <row r="77" customFormat="false" ht="15" hidden="false" customHeight="true" outlineLevel="0" collapsed="false">
      <c r="A77" s="17" t="s">
        <v>296</v>
      </c>
      <c r="B77" s="91" t="n">
        <f aca="false">B71/B75-1</f>
        <v>-0.0309821711882111</v>
      </c>
      <c r="C77" s="91" t="n">
        <f aca="false">C71/C75-1</f>
        <v>-0.0142223532555845</v>
      </c>
      <c r="D77" s="91" t="n">
        <f aca="false">D71/D75-1</f>
        <v>-0.0038703337459558</v>
      </c>
      <c r="E77" s="91" t="n">
        <f aca="false">E71/E75-1</f>
        <v>0.00243944629730208</v>
      </c>
      <c r="F77" s="91" t="n">
        <f aca="false">F71/F75-1</f>
        <v>0.0233499058156088</v>
      </c>
    </row>
    <row r="80" customFormat="false" ht="15" hidden="false" customHeight="true" outlineLevel="0" collapsed="false">
      <c r="A80" s="3" t="s">
        <v>297</v>
      </c>
    </row>
    <row r="81" customFormat="false" ht="15" hidden="false" customHeight="true" outlineLevel="0" collapsed="false">
      <c r="A81" s="12" t="s">
        <v>298</v>
      </c>
      <c r="B81" s="12" t="s">
        <v>299</v>
      </c>
      <c r="C81" s="12" t="s">
        <v>300</v>
      </c>
      <c r="D81" s="12" t="s">
        <v>301</v>
      </c>
    </row>
    <row r="82" customFormat="false" ht="15" hidden="false" customHeight="true" outlineLevel="0" collapsed="false">
      <c r="A82" s="92" t="s">
        <v>178</v>
      </c>
      <c r="B82" s="93" t="n">
        <f aca="false">B59+B61+B65+B66+0</f>
        <v>69382.4788141998</v>
      </c>
      <c r="C82" s="93" t="n">
        <f aca="false">'Accretion Dilution'!B18</f>
        <v>69382.4788141998</v>
      </c>
      <c r="D82" s="93" t="n">
        <f aca="false">B82-C82</f>
        <v>0</v>
      </c>
    </row>
    <row r="83" customFormat="false" ht="15" hidden="false" customHeight="true" outlineLevel="0" collapsed="false">
      <c r="A83" s="92" t="s">
        <v>71</v>
      </c>
      <c r="B83" s="94" t="n">
        <f aca="false">B82/B70</f>
        <v>9.285663652864</v>
      </c>
      <c r="C83" s="94" t="n">
        <f aca="false">'Accretion Dilution'!B20</f>
        <v>9.285663652864</v>
      </c>
      <c r="D83" s="94" t="n">
        <f aca="false">B83-C83</f>
        <v>0</v>
      </c>
    </row>
    <row r="84" customFormat="false" ht="15" hidden="false" customHeight="true" outlineLevel="0" collapsed="false">
      <c r="A84" s="92" t="s">
        <v>239</v>
      </c>
      <c r="B84" s="95" t="n">
        <f aca="false">B83/'Microsoft Standalone'!$B$8-1</f>
        <v>-0.0407372259438016</v>
      </c>
      <c r="C84" s="95" t="n">
        <f aca="false">'Accretion Dilution'!B22</f>
        <v>-0.0407372259438016</v>
      </c>
      <c r="D84" s="95" t="n">
        <f aca="false">B84-C84</f>
        <v>0</v>
      </c>
    </row>
    <row r="86" customFormat="false" ht="45" hidden="false" customHeight="true" outlineLevel="0" collapsed="false">
      <c r="A86" s="74" t="s">
        <v>302</v>
      </c>
      <c r="B86" s="74"/>
      <c r="C86" s="74"/>
      <c r="D86" s="74"/>
      <c r="E86" s="74"/>
      <c r="F86" s="74"/>
      <c r="G86" s="74"/>
    </row>
    <row r="88" customFormat="false" ht="30" hidden="false" customHeight="true" outlineLevel="0" collapsed="false">
      <c r="A88" s="74" t="s">
        <v>303</v>
      </c>
      <c r="B88" s="74"/>
      <c r="C88" s="74"/>
      <c r="D88" s="74"/>
      <c r="E88" s="74"/>
      <c r="F88" s="74"/>
      <c r="G88" s="74"/>
    </row>
  </sheetData>
  <mergeCells count="8">
    <mergeCell ref="A1:G1"/>
    <mergeCell ref="A2:G2"/>
    <mergeCell ref="A22:G22"/>
    <mergeCell ref="A28:G28"/>
    <mergeCell ref="A55:G55"/>
    <mergeCell ref="A74:G74"/>
    <mergeCell ref="A86:G86"/>
    <mergeCell ref="A88:G8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46"/>
    <col collapsed="false" customWidth="true" hidden="false" outlineLevel="0" max="2" min="2" style="7" width="16"/>
    <col collapsed="false" customWidth="true" hidden="false" outlineLevel="0" max="3" min="3" style="7" width="60"/>
    <col collapsed="false" customWidth="true" hidden="false" outlineLevel="0" max="4" min="4" style="7" width="15"/>
  </cols>
  <sheetData>
    <row r="1" customFormat="false" ht="15" hidden="false" customHeight="true" outlineLevel="0" collapsed="false">
      <c r="A1" s="96" t="s">
        <v>304</v>
      </c>
      <c r="B1" s="97"/>
      <c r="C1" s="97"/>
      <c r="D1" s="97"/>
    </row>
    <row r="2" customFormat="false" ht="27.75" hidden="false" customHeight="true" outlineLevel="0" collapsed="false">
      <c r="A2" s="74" t="s">
        <v>305</v>
      </c>
      <c r="B2" s="74"/>
      <c r="C2" s="74"/>
      <c r="D2" s="74"/>
    </row>
    <row r="4" customFormat="false" ht="15" hidden="false" customHeight="true" outlineLevel="0" collapsed="false">
      <c r="A4" s="3" t="s">
        <v>306</v>
      </c>
    </row>
    <row r="5" customFormat="false" ht="15" hidden="false" customHeight="true" outlineLevel="0" collapsed="false">
      <c r="A5" s="12" t="s">
        <v>307</v>
      </c>
      <c r="B5" s="12" t="s">
        <v>37</v>
      </c>
      <c r="C5" s="12" t="s">
        <v>23</v>
      </c>
    </row>
    <row r="6" customFormat="false" ht="15" hidden="false" customHeight="true" outlineLevel="0" collapsed="false">
      <c r="A6" s="13" t="s">
        <v>308</v>
      </c>
      <c r="B6" s="98" t="n">
        <v>34704</v>
      </c>
      <c r="C6" s="15" t="s">
        <v>309</v>
      </c>
    </row>
    <row r="7" customFormat="false" ht="15" hidden="false" customHeight="true" outlineLevel="0" collapsed="false">
      <c r="A7" s="13" t="s">
        <v>310</v>
      </c>
      <c r="B7" s="98" t="n">
        <v>76558</v>
      </c>
      <c r="C7" s="15" t="s">
        <v>309</v>
      </c>
    </row>
    <row r="8" customFormat="false" ht="15" hidden="false" customHeight="true" outlineLevel="0" collapsed="false">
      <c r="A8" s="13" t="s">
        <v>311</v>
      </c>
      <c r="B8" s="98" t="n">
        <v>48688</v>
      </c>
      <c r="C8" s="15" t="s">
        <v>309</v>
      </c>
    </row>
    <row r="9" customFormat="false" ht="15" hidden="false" customHeight="true" outlineLevel="0" collapsed="false">
      <c r="A9" s="13" t="s">
        <v>312</v>
      </c>
      <c r="B9" s="98" t="n">
        <v>2500</v>
      </c>
      <c r="C9" s="15" t="s">
        <v>309</v>
      </c>
    </row>
    <row r="10" customFormat="false" ht="15" hidden="false" customHeight="true" outlineLevel="0" collapsed="false">
      <c r="A10" s="13" t="s">
        <v>313</v>
      </c>
      <c r="B10" s="98" t="n">
        <v>21807</v>
      </c>
      <c r="C10" s="15" t="s">
        <v>309</v>
      </c>
    </row>
    <row r="11" customFormat="false" ht="15" hidden="false" customHeight="true" outlineLevel="0" collapsed="false">
      <c r="A11" s="27" t="s">
        <v>314</v>
      </c>
      <c r="B11" s="99" t="n">
        <f aca="false">SUM(B6:B10)</f>
        <v>184257</v>
      </c>
      <c r="C11" s="15" t="s">
        <v>309</v>
      </c>
    </row>
    <row r="12" customFormat="false" ht="15" hidden="false" customHeight="true" outlineLevel="0" collapsed="false">
      <c r="A12" s="13" t="s">
        <v>315</v>
      </c>
      <c r="B12" s="98" t="n">
        <v>109987</v>
      </c>
      <c r="C12" s="15" t="s">
        <v>309</v>
      </c>
    </row>
    <row r="13" customFormat="false" ht="15" hidden="false" customHeight="true" outlineLevel="0" collapsed="false">
      <c r="A13" s="13" t="s">
        <v>56</v>
      </c>
      <c r="B13" s="98" t="n">
        <v>67886</v>
      </c>
      <c r="C13" s="15" t="s">
        <v>309</v>
      </c>
    </row>
    <row r="14" customFormat="false" ht="15" hidden="false" customHeight="true" outlineLevel="0" collapsed="false">
      <c r="A14" s="13" t="s">
        <v>316</v>
      </c>
      <c r="B14" s="98" t="n">
        <v>9366</v>
      </c>
      <c r="C14" s="15" t="s">
        <v>309</v>
      </c>
    </row>
    <row r="15" customFormat="false" ht="15" hidden="false" customHeight="true" outlineLevel="0" collapsed="false">
      <c r="A15" s="13" t="s">
        <v>317</v>
      </c>
      <c r="B15" s="98" t="n">
        <v>9879</v>
      </c>
      <c r="C15" s="15" t="s">
        <v>309</v>
      </c>
    </row>
    <row r="16" customFormat="false" ht="15" hidden="false" customHeight="true" outlineLevel="0" collapsed="false">
      <c r="A16" s="13" t="s">
        <v>318</v>
      </c>
      <c r="B16" s="98" t="n">
        <v>30601</v>
      </c>
      <c r="C16" s="15" t="s">
        <v>309</v>
      </c>
    </row>
    <row r="17" customFormat="false" ht="15" hidden="false" customHeight="true" outlineLevel="0" collapsed="false">
      <c r="A17" s="27" t="s">
        <v>319</v>
      </c>
      <c r="B17" s="99" t="n">
        <f aca="false">B11+SUM(B12:B16)</f>
        <v>411976</v>
      </c>
      <c r="C17" s="13"/>
    </row>
    <row r="19" customFormat="false" ht="15" hidden="false" customHeight="true" outlineLevel="0" collapsed="false">
      <c r="A19" s="13" t="s">
        <v>320</v>
      </c>
      <c r="B19" s="98" t="n">
        <v>18095</v>
      </c>
      <c r="C19" s="13"/>
    </row>
    <row r="20" customFormat="false" ht="15" hidden="false" customHeight="true" outlineLevel="0" collapsed="false">
      <c r="A20" s="13" t="s">
        <v>321</v>
      </c>
      <c r="B20" s="98" t="n">
        <v>11009</v>
      </c>
      <c r="C20" s="13"/>
    </row>
    <row r="21" customFormat="false" ht="15" hidden="false" customHeight="true" outlineLevel="0" collapsed="false">
      <c r="A21" s="13" t="s">
        <v>322</v>
      </c>
      <c r="B21" s="98" t="n">
        <v>5247</v>
      </c>
      <c r="C21" s="13"/>
    </row>
    <row r="22" customFormat="false" ht="15" hidden="false" customHeight="true" outlineLevel="0" collapsed="false">
      <c r="A22" s="13" t="s">
        <v>323</v>
      </c>
      <c r="B22" s="98" t="n">
        <v>50901</v>
      </c>
      <c r="C22" s="13"/>
    </row>
    <row r="23" customFormat="false" ht="15" hidden="false" customHeight="true" outlineLevel="0" collapsed="false">
      <c r="A23" s="13" t="s">
        <v>324</v>
      </c>
      <c r="B23" s="98" t="n">
        <v>18897</v>
      </c>
      <c r="C23" s="13"/>
    </row>
    <row r="24" customFormat="false" ht="15" hidden="false" customHeight="true" outlineLevel="0" collapsed="false">
      <c r="A24" s="27" t="s">
        <v>325</v>
      </c>
      <c r="B24" s="99" t="n">
        <f aca="false">SUM(B19:B23)</f>
        <v>104149</v>
      </c>
      <c r="C24" s="13"/>
    </row>
    <row r="25" customFormat="false" ht="15" hidden="false" customHeight="true" outlineLevel="0" collapsed="false">
      <c r="A25" s="13" t="s">
        <v>326</v>
      </c>
      <c r="B25" s="98" t="n">
        <v>41990</v>
      </c>
      <c r="C25" s="13"/>
    </row>
    <row r="26" customFormat="false" ht="15" hidden="false" customHeight="true" outlineLevel="0" collapsed="false">
      <c r="A26" s="13" t="s">
        <v>327</v>
      </c>
      <c r="B26" s="98" t="n">
        <v>12728</v>
      </c>
      <c r="C26" s="13"/>
    </row>
    <row r="27" customFormat="false" ht="15" hidden="false" customHeight="true" outlineLevel="0" collapsed="false">
      <c r="A27" s="13" t="s">
        <v>328</v>
      </c>
      <c r="B27" s="98" t="n">
        <v>46886</v>
      </c>
      <c r="C27" s="13"/>
    </row>
    <row r="28" customFormat="false" ht="15" hidden="false" customHeight="true" outlineLevel="0" collapsed="false">
      <c r="A28" s="27" t="s">
        <v>329</v>
      </c>
      <c r="B28" s="99" t="n">
        <f aca="false">B24+SUM(B25:B27)</f>
        <v>205753</v>
      </c>
      <c r="C28" s="13"/>
    </row>
    <row r="30" customFormat="false" ht="15" hidden="false" customHeight="true" outlineLevel="0" collapsed="false">
      <c r="A30" s="27" t="s">
        <v>330</v>
      </c>
      <c r="B30" s="100" t="n">
        <v>206223</v>
      </c>
      <c r="C30" s="15" t="s">
        <v>331</v>
      </c>
    </row>
    <row r="31" customFormat="false" ht="15" hidden="false" customHeight="true" outlineLevel="0" collapsed="false">
      <c r="A31" s="15" t="s">
        <v>332</v>
      </c>
      <c r="B31" s="101" t="n">
        <f aca="false">B17-B28-B30</f>
        <v>0</v>
      </c>
    </row>
    <row r="34" customFormat="false" ht="15" hidden="false" customHeight="true" outlineLevel="0" collapsed="false">
      <c r="A34" s="3" t="s">
        <v>333</v>
      </c>
    </row>
    <row r="35" customFormat="false" ht="39.75" hidden="false" customHeight="true" outlineLevel="0" collapsed="false">
      <c r="A35" s="74" t="s">
        <v>334</v>
      </c>
      <c r="B35" s="74"/>
      <c r="C35" s="74"/>
      <c r="D35" s="74"/>
    </row>
    <row r="37" customFormat="false" ht="15" hidden="false" customHeight="true" outlineLevel="0" collapsed="false">
      <c r="A37" s="12" t="s">
        <v>307</v>
      </c>
      <c r="B37" s="12" t="s">
        <v>37</v>
      </c>
      <c r="C37" s="12" t="s">
        <v>23</v>
      </c>
    </row>
    <row r="38" customFormat="false" ht="15" hidden="false" customHeight="true" outlineLevel="0" collapsed="false">
      <c r="A38" s="13" t="s">
        <v>335</v>
      </c>
      <c r="B38" s="98" t="n">
        <v>7060</v>
      </c>
      <c r="C38" s="15" t="s">
        <v>336</v>
      </c>
    </row>
    <row r="39" customFormat="false" ht="15" hidden="false" customHeight="true" outlineLevel="0" collapsed="false">
      <c r="A39" s="13" t="s">
        <v>337</v>
      </c>
      <c r="B39" s="98" t="n">
        <v>4932</v>
      </c>
      <c r="C39" s="15" t="s">
        <v>336</v>
      </c>
    </row>
    <row r="40" customFormat="false" ht="15" hidden="false" customHeight="true" outlineLevel="0" collapsed="false">
      <c r="A40" s="13" t="s">
        <v>338</v>
      </c>
      <c r="B40" s="98" t="n">
        <v>1204</v>
      </c>
      <c r="C40" s="15" t="s">
        <v>336</v>
      </c>
    </row>
    <row r="41" customFormat="false" ht="15" hidden="false" customHeight="true" outlineLevel="0" collapsed="false">
      <c r="A41" s="13" t="s">
        <v>313</v>
      </c>
      <c r="B41" s="98" t="n">
        <v>1273</v>
      </c>
      <c r="C41" s="15" t="s">
        <v>336</v>
      </c>
    </row>
    <row r="42" customFormat="false" ht="15" hidden="false" customHeight="true" outlineLevel="0" collapsed="false">
      <c r="A42" s="27" t="s">
        <v>314</v>
      </c>
      <c r="B42" s="99" t="n">
        <f aca="false">SUM(B38:B41)</f>
        <v>14469</v>
      </c>
      <c r="C42" s="15" t="s">
        <v>336</v>
      </c>
    </row>
    <row r="43" customFormat="false" ht="15" hidden="false" customHeight="true" outlineLevel="0" collapsed="false">
      <c r="A43" s="13" t="s">
        <v>339</v>
      </c>
      <c r="B43" s="98" t="n">
        <v>641</v>
      </c>
      <c r="C43" s="15" t="s">
        <v>336</v>
      </c>
    </row>
    <row r="44" customFormat="false" ht="15" hidden="false" customHeight="true" outlineLevel="0" collapsed="false">
      <c r="A44" s="13" t="s">
        <v>340</v>
      </c>
      <c r="B44" s="98" t="n">
        <v>193</v>
      </c>
      <c r="C44" s="15" t="s">
        <v>336</v>
      </c>
    </row>
    <row r="45" customFormat="false" ht="15" hidden="false" customHeight="true" outlineLevel="0" collapsed="false">
      <c r="A45" s="13" t="s">
        <v>341</v>
      </c>
      <c r="B45" s="98" t="n">
        <v>1201</v>
      </c>
      <c r="C45" s="15" t="s">
        <v>336</v>
      </c>
    </row>
    <row r="46" customFormat="false" ht="15" hidden="false" customHeight="true" outlineLevel="0" collapsed="false">
      <c r="A46" s="13" t="s">
        <v>342</v>
      </c>
      <c r="B46" s="98" t="n">
        <v>508</v>
      </c>
      <c r="C46" s="15" t="s">
        <v>336</v>
      </c>
    </row>
    <row r="47" customFormat="false" ht="15" hidden="false" customHeight="true" outlineLevel="0" collapsed="false">
      <c r="A47" s="13" t="s">
        <v>343</v>
      </c>
      <c r="B47" s="98" t="n">
        <v>442</v>
      </c>
      <c r="C47" s="15" t="s">
        <v>336</v>
      </c>
    </row>
    <row r="48" customFormat="false" ht="15" hidden="false" customHeight="true" outlineLevel="0" collapsed="false">
      <c r="A48" s="13" t="s">
        <v>344</v>
      </c>
      <c r="B48" s="98" t="n">
        <v>9929</v>
      </c>
      <c r="C48" s="15" t="s">
        <v>336</v>
      </c>
    </row>
    <row r="49" customFormat="false" ht="15" hidden="false" customHeight="true" outlineLevel="0" collapsed="false">
      <c r="A49" s="27" t="s">
        <v>319</v>
      </c>
      <c r="B49" s="99" t="n">
        <f aca="false">B42+SUM(B43:B48)</f>
        <v>27383</v>
      </c>
      <c r="C49" s="15" t="s">
        <v>336</v>
      </c>
    </row>
    <row r="51" customFormat="false" ht="15" hidden="false" customHeight="true" outlineLevel="0" collapsed="false">
      <c r="A51" s="13" t="s">
        <v>320</v>
      </c>
      <c r="B51" s="98" t="n">
        <v>324</v>
      </c>
      <c r="C51" s="15" t="s">
        <v>336</v>
      </c>
    </row>
    <row r="52" customFormat="false" ht="15" hidden="false" customHeight="true" outlineLevel="0" collapsed="false">
      <c r="A52" s="13" t="s">
        <v>345</v>
      </c>
      <c r="B52" s="98" t="n">
        <v>2088</v>
      </c>
      <c r="C52" s="15" t="s">
        <v>336</v>
      </c>
    </row>
    <row r="53" customFormat="false" ht="15" hidden="false" customHeight="true" outlineLevel="0" collapsed="false">
      <c r="A53" s="13" t="s">
        <v>346</v>
      </c>
      <c r="B53" s="98" t="n">
        <v>1143</v>
      </c>
      <c r="C53" s="15" t="s">
        <v>336</v>
      </c>
    </row>
    <row r="54" customFormat="false" ht="15" hidden="false" customHeight="true" outlineLevel="0" collapsed="false">
      <c r="A54" s="27" t="s">
        <v>325</v>
      </c>
      <c r="B54" s="99" t="n">
        <f aca="false">SUM(B51:B53)</f>
        <v>3555</v>
      </c>
      <c r="C54" s="15" t="s">
        <v>336</v>
      </c>
    </row>
    <row r="55" customFormat="false" ht="15" hidden="false" customHeight="true" outlineLevel="0" collapsed="false">
      <c r="A55" s="13" t="s">
        <v>347</v>
      </c>
      <c r="B55" s="98" t="n">
        <v>3611</v>
      </c>
      <c r="C55" s="15" t="s">
        <v>336</v>
      </c>
    </row>
    <row r="56" customFormat="false" ht="15" hidden="false" customHeight="true" outlineLevel="0" collapsed="false">
      <c r="A56" s="13" t="s">
        <v>341</v>
      </c>
      <c r="B56" s="98" t="n">
        <v>158</v>
      </c>
      <c r="C56" s="15" t="s">
        <v>336</v>
      </c>
    </row>
    <row r="57" customFormat="false" ht="15" hidden="false" customHeight="true" outlineLevel="0" collapsed="false">
      <c r="A57" s="13" t="s">
        <v>348</v>
      </c>
      <c r="B57" s="98" t="n">
        <v>816</v>
      </c>
      <c r="C57" s="15" t="s">
        <v>336</v>
      </c>
    </row>
    <row r="58" customFormat="false" ht="15" hidden="false" customHeight="true" outlineLevel="0" collapsed="false">
      <c r="A58" s="27" t="s">
        <v>329</v>
      </c>
      <c r="B58" s="99" t="n">
        <f aca="false">B54+SUM(B55:B57)</f>
        <v>8140</v>
      </c>
      <c r="C58" s="15" t="s">
        <v>336</v>
      </c>
    </row>
    <row r="60" customFormat="false" ht="15" hidden="false" customHeight="true" outlineLevel="0" collapsed="false">
      <c r="A60" s="27" t="s">
        <v>349</v>
      </c>
      <c r="B60" s="100" t="n">
        <v>19243</v>
      </c>
      <c r="C60" s="15" t="s">
        <v>350</v>
      </c>
    </row>
    <row r="63" customFormat="false" ht="15" hidden="false" customHeight="true" outlineLevel="0" collapsed="false">
      <c r="A63" s="96" t="s">
        <v>351</v>
      </c>
      <c r="B63" s="97"/>
      <c r="C63" s="97"/>
      <c r="D63" s="97"/>
    </row>
    <row r="64" customFormat="false" ht="69.75" hidden="false" customHeight="true" outlineLevel="0" collapsed="false">
      <c r="A64" s="74" t="s">
        <v>352</v>
      </c>
      <c r="B64" s="74"/>
      <c r="C64" s="74"/>
      <c r="D64" s="74"/>
    </row>
    <row r="66" customFormat="false" ht="15" hidden="false" customHeight="true" outlineLevel="0" collapsed="false">
      <c r="A66" s="12" t="s">
        <v>353</v>
      </c>
      <c r="B66" s="12" t="s">
        <v>37</v>
      </c>
      <c r="C66" s="12" t="s">
        <v>354</v>
      </c>
      <c r="D66" s="12" t="s">
        <v>51</v>
      </c>
    </row>
    <row r="67" customFormat="false" ht="27.75" hidden="false" customHeight="true" outlineLevel="0" collapsed="false">
      <c r="A67" s="86" t="s">
        <v>355</v>
      </c>
      <c r="B67" s="102" t="n">
        <v>-74776</v>
      </c>
      <c r="C67" s="15" t="s">
        <v>356</v>
      </c>
      <c r="D67" s="78" t="s">
        <v>357</v>
      </c>
    </row>
    <row r="68" customFormat="false" ht="15" hidden="false" customHeight="true" outlineLevel="0" collapsed="false">
      <c r="A68" s="86" t="s">
        <v>358</v>
      </c>
      <c r="B68" s="102" t="n">
        <v>12976</v>
      </c>
      <c r="C68" s="15" t="s">
        <v>359</v>
      </c>
      <c r="D68" s="78" t="s">
        <v>360</v>
      </c>
    </row>
    <row r="69" customFormat="false" ht="15" hidden="false" customHeight="true" outlineLevel="0" collapsed="false">
      <c r="A69" s="86" t="s">
        <v>56</v>
      </c>
      <c r="B69" s="102" t="n">
        <v>51001</v>
      </c>
      <c r="C69" s="15" t="s">
        <v>359</v>
      </c>
      <c r="D69" s="78" t="s">
        <v>361</v>
      </c>
    </row>
    <row r="70" customFormat="false" ht="27.75" hidden="false" customHeight="true" outlineLevel="0" collapsed="false">
      <c r="A70" s="86" t="s">
        <v>362</v>
      </c>
      <c r="B70" s="102" t="n">
        <v>21969</v>
      </c>
      <c r="C70" s="15" t="s">
        <v>359</v>
      </c>
      <c r="D70" s="78" t="s">
        <v>363</v>
      </c>
    </row>
    <row r="71" customFormat="false" ht="27.75" hidden="false" customHeight="true" outlineLevel="0" collapsed="false">
      <c r="A71" s="86" t="s">
        <v>364</v>
      </c>
      <c r="B71" s="102" t="n">
        <v>2503</v>
      </c>
      <c r="C71" s="15" t="s">
        <v>359</v>
      </c>
      <c r="D71" s="78" t="s">
        <v>365</v>
      </c>
    </row>
    <row r="72" customFormat="false" ht="15" hidden="false" customHeight="true" outlineLevel="0" collapsed="false">
      <c r="A72" s="86" t="s">
        <v>366</v>
      </c>
      <c r="B72" s="102" t="n">
        <v>-2799</v>
      </c>
      <c r="C72" s="15" t="s">
        <v>367</v>
      </c>
      <c r="D72" s="78" t="s">
        <v>368</v>
      </c>
    </row>
    <row r="73" customFormat="false" ht="15" hidden="false" customHeight="true" outlineLevel="0" collapsed="false">
      <c r="A73" s="86" t="s">
        <v>369</v>
      </c>
      <c r="B73" s="102" t="n">
        <v>-1946</v>
      </c>
      <c r="C73" s="15" t="s">
        <v>367</v>
      </c>
      <c r="D73" s="78" t="s">
        <v>370</v>
      </c>
    </row>
    <row r="74" customFormat="false" ht="15" hidden="false" customHeight="true" outlineLevel="0" collapsed="false">
      <c r="A74" s="86" t="s">
        <v>371</v>
      </c>
      <c r="B74" s="102" t="n">
        <v>-4676</v>
      </c>
      <c r="C74" s="15" t="s">
        <v>367</v>
      </c>
      <c r="D74" s="78" t="s">
        <v>372</v>
      </c>
    </row>
    <row r="75" customFormat="false" ht="15" hidden="false" customHeight="true" outlineLevel="0" collapsed="false">
      <c r="A75" s="86" t="s">
        <v>373</v>
      </c>
      <c r="B75" s="102" t="n">
        <v>-3620</v>
      </c>
      <c r="C75" s="15" t="s">
        <v>367</v>
      </c>
      <c r="D75" s="78" t="s">
        <v>374</v>
      </c>
    </row>
    <row r="76" customFormat="false" ht="39.75" hidden="false" customHeight="true" outlineLevel="0" collapsed="false">
      <c r="A76" s="86" t="s">
        <v>375</v>
      </c>
      <c r="B76" s="102" t="n">
        <v>632</v>
      </c>
      <c r="C76" s="15" t="s">
        <v>376</v>
      </c>
      <c r="D76" s="78" t="s">
        <v>377</v>
      </c>
    </row>
    <row r="78" customFormat="false" ht="15" hidden="false" customHeight="true" outlineLevel="0" collapsed="false">
      <c r="A78" s="103" t="s">
        <v>378</v>
      </c>
      <c r="B78" s="104"/>
      <c r="C78" s="105"/>
      <c r="D78" s="106"/>
    </row>
    <row r="79" customFormat="false" ht="15" hidden="false" customHeight="true" outlineLevel="0" collapsed="false">
      <c r="A79" s="90" t="s">
        <v>379</v>
      </c>
      <c r="B79" s="90"/>
      <c r="C79" s="90"/>
      <c r="D79" s="90"/>
    </row>
    <row r="81" customFormat="false" ht="15" hidden="false" customHeight="true" outlineLevel="0" collapsed="false">
      <c r="A81" s="12" t="s">
        <v>307</v>
      </c>
      <c r="B81" s="12" t="s">
        <v>380</v>
      </c>
      <c r="C81" s="12" t="s">
        <v>51</v>
      </c>
    </row>
    <row r="82" customFormat="false" ht="27.75" hidden="false" customHeight="true" outlineLevel="0" collapsed="false">
      <c r="A82" s="13" t="s">
        <v>308</v>
      </c>
      <c r="B82" s="107" t="n">
        <f aca="false">B6+B68</f>
        <v>47680</v>
      </c>
      <c r="C82" s="78" t="s">
        <v>381</v>
      </c>
    </row>
    <row r="83" customFormat="false" ht="15" hidden="false" customHeight="true" outlineLevel="0" collapsed="false">
      <c r="A83" s="13" t="s">
        <v>382</v>
      </c>
      <c r="B83" s="107" t="n">
        <f aca="false">B7+B67+B8+B9+B10</f>
        <v>74777</v>
      </c>
      <c r="C83" s="78" t="s">
        <v>383</v>
      </c>
    </row>
    <row r="84" customFormat="false" ht="15" hidden="false" customHeight="true" outlineLevel="0" collapsed="false">
      <c r="A84" s="27" t="s">
        <v>314</v>
      </c>
      <c r="B84" s="108" t="n">
        <f aca="false">SUM(B82:B83)</f>
        <v>122457</v>
      </c>
      <c r="C84" s="86"/>
    </row>
    <row r="85" customFormat="false" ht="15" hidden="false" customHeight="true" outlineLevel="0" collapsed="false">
      <c r="A85" s="13" t="s">
        <v>384</v>
      </c>
      <c r="B85" s="107" t="n">
        <f aca="false">B12</f>
        <v>109987</v>
      </c>
      <c r="C85" s="86"/>
    </row>
    <row r="86" customFormat="false" ht="15" hidden="false" customHeight="true" outlineLevel="0" collapsed="false">
      <c r="A86" s="13" t="s">
        <v>56</v>
      </c>
      <c r="B86" s="107" t="n">
        <f aca="false">B13+B69</f>
        <v>118887</v>
      </c>
      <c r="C86" s="78" t="s">
        <v>385</v>
      </c>
    </row>
    <row r="87" customFormat="false" ht="15" hidden="false" customHeight="true" outlineLevel="0" collapsed="false">
      <c r="A87" s="13" t="s">
        <v>386</v>
      </c>
      <c r="B87" s="107" t="n">
        <f aca="false">B14+B70</f>
        <v>31335</v>
      </c>
      <c r="C87" s="78" t="s">
        <v>387</v>
      </c>
    </row>
    <row r="88" customFormat="false" ht="15" hidden="false" customHeight="true" outlineLevel="0" collapsed="false">
      <c r="A88" s="13" t="s">
        <v>318</v>
      </c>
      <c r="B88" s="107" t="n">
        <f aca="false">B15+B16+B71</f>
        <v>42983</v>
      </c>
      <c r="C88" s="78" t="s">
        <v>388</v>
      </c>
    </row>
    <row r="89" customFormat="false" ht="15" hidden="false" customHeight="true" outlineLevel="0" collapsed="false">
      <c r="A89" s="27" t="s">
        <v>319</v>
      </c>
      <c r="B89" s="108" t="n">
        <f aca="false">B84+B85+B86+B87+B88</f>
        <v>425649</v>
      </c>
      <c r="C89" s="86"/>
    </row>
    <row r="90" customFormat="false" ht="15" hidden="false" customHeight="true" outlineLevel="0" collapsed="false">
      <c r="B90" s="109"/>
      <c r="C90" s="110"/>
    </row>
    <row r="91" customFormat="false" ht="15" hidden="false" customHeight="true" outlineLevel="0" collapsed="false">
      <c r="A91" s="13" t="s">
        <v>389</v>
      </c>
      <c r="B91" s="107" t="n">
        <f aca="false">B24</f>
        <v>104149</v>
      </c>
      <c r="C91" s="86"/>
    </row>
    <row r="92" customFormat="false" ht="27.75" hidden="false" customHeight="true" outlineLevel="0" collapsed="false">
      <c r="A92" s="13" t="s">
        <v>326</v>
      </c>
      <c r="B92" s="107" t="n">
        <f aca="false">B25-B72</f>
        <v>44789</v>
      </c>
      <c r="C92" s="78" t="s">
        <v>390</v>
      </c>
    </row>
    <row r="93" customFormat="false" ht="27.75" hidden="false" customHeight="true" outlineLevel="0" collapsed="false">
      <c r="A93" s="13" t="s">
        <v>328</v>
      </c>
      <c r="B93" s="107" t="n">
        <f aca="false">B26+B27-B73-B74-B75</f>
        <v>69856</v>
      </c>
      <c r="C93" s="78" t="s">
        <v>391</v>
      </c>
    </row>
    <row r="94" customFormat="false" ht="15" hidden="false" customHeight="true" outlineLevel="0" collapsed="false">
      <c r="A94" s="27" t="s">
        <v>329</v>
      </c>
      <c r="B94" s="108" t="n">
        <f aca="false">B91+B92+B93</f>
        <v>218794</v>
      </c>
      <c r="C94" s="86"/>
    </row>
    <row r="95" customFormat="false" ht="15" hidden="false" customHeight="true" outlineLevel="0" collapsed="false">
      <c r="B95" s="111"/>
      <c r="C95" s="110"/>
    </row>
    <row r="96" customFormat="false" ht="27.75" hidden="false" customHeight="true" outlineLevel="0" collapsed="false">
      <c r="A96" s="27" t="s">
        <v>330</v>
      </c>
      <c r="B96" s="108" t="n">
        <f aca="false">B30+B76</f>
        <v>206855</v>
      </c>
      <c r="C96" s="78" t="s">
        <v>392</v>
      </c>
    </row>
    <row r="97" customFormat="false" ht="15" hidden="false" customHeight="true" outlineLevel="0" collapsed="false">
      <c r="A97" s="27" t="s">
        <v>393</v>
      </c>
      <c r="B97" s="108" t="n">
        <f aca="false">SUM(B94,B96)</f>
        <v>425649</v>
      </c>
      <c r="C97" s="86"/>
    </row>
    <row r="98" customFormat="false" ht="15" hidden="false" customHeight="true" outlineLevel="0" collapsed="false">
      <c r="B98" s="109"/>
      <c r="C98" s="110"/>
    </row>
    <row r="99" customFormat="false" ht="15" hidden="false" customHeight="true" outlineLevel="0" collapsed="false">
      <c r="A99" s="112" t="s">
        <v>394</v>
      </c>
      <c r="B99" s="113" t="n">
        <f aca="false">B89-B97</f>
        <v>0</v>
      </c>
      <c r="C99" s="110"/>
    </row>
    <row r="100" customFormat="false" ht="23.25" hidden="false" customHeight="true" outlineLevel="0" collapsed="false">
      <c r="A100" s="114" t="s">
        <v>395</v>
      </c>
      <c r="B100" s="115" t="n">
        <f aca="false">B82+(B7+B67)</f>
        <v>49462</v>
      </c>
      <c r="C100" s="116" t="s">
        <v>396</v>
      </c>
    </row>
    <row r="101" customFormat="false" ht="15" hidden="false" customHeight="true" outlineLevel="0" collapsed="false">
      <c r="A101" s="117" t="s">
        <v>397</v>
      </c>
      <c r="B101" s="118" t="n">
        <f aca="false">(B6+B7)-B100</f>
        <v>61800</v>
      </c>
      <c r="C101" s="119" t="s">
        <v>398</v>
      </c>
    </row>
    <row r="102" customFormat="false" ht="94.5" hidden="false" customHeight="true" outlineLevel="0" collapsed="false">
      <c r="A102" s="74" t="s">
        <v>399</v>
      </c>
      <c r="B102" s="74"/>
      <c r="C102" s="74"/>
      <c r="D102" s="74"/>
    </row>
  </sheetData>
  <mergeCells count="5">
    <mergeCell ref="A2:D2"/>
    <mergeCell ref="A35:D35"/>
    <mergeCell ref="A64:D64"/>
    <mergeCell ref="A79:D79"/>
    <mergeCell ref="A102:D10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0" width="46"/>
    <col collapsed="false" customWidth="true" hidden="false" outlineLevel="0" max="6" min="2" style="120" width="15"/>
    <col collapsed="false" customWidth="true" hidden="false" outlineLevel="0" max="7" min="7" style="120" width="48"/>
  </cols>
  <sheetData>
    <row r="1" customFormat="false" ht="15" hidden="false" customHeight="true" outlineLevel="0" collapsed="false">
      <c r="A1" s="96" t="s">
        <v>400</v>
      </c>
      <c r="B1" s="121"/>
      <c r="C1" s="121"/>
      <c r="D1" s="121"/>
      <c r="E1" s="121"/>
      <c r="F1" s="121"/>
      <c r="G1" s="121"/>
    </row>
    <row r="2" customFormat="false" ht="31.5" hidden="false" customHeight="true" outlineLevel="0" collapsed="false">
      <c r="A2" s="74" t="s">
        <v>401</v>
      </c>
      <c r="B2" s="74"/>
      <c r="C2" s="74"/>
      <c r="D2" s="74"/>
      <c r="E2" s="74"/>
      <c r="F2" s="74"/>
      <c r="G2" s="74"/>
    </row>
    <row r="4" customFormat="false" ht="15" hidden="false" customHeight="true" outlineLevel="0" collapsed="false">
      <c r="A4" s="3" t="s">
        <v>402</v>
      </c>
    </row>
    <row r="5" customFormat="false" ht="15" hidden="false" customHeight="true" outlineLevel="0" collapsed="false">
      <c r="A5" s="12" t="s">
        <v>111</v>
      </c>
      <c r="B5" s="12" t="s">
        <v>22</v>
      </c>
      <c r="C5" s="12" t="s">
        <v>23</v>
      </c>
    </row>
    <row r="6" customFormat="false" ht="15" hidden="false" customHeight="true" outlineLevel="0" collapsed="false">
      <c r="A6" s="13" t="s">
        <v>403</v>
      </c>
      <c r="B6" s="98" t="n">
        <v>13861</v>
      </c>
      <c r="C6" s="15" t="s">
        <v>404</v>
      </c>
    </row>
    <row r="7" customFormat="false" ht="15" hidden="false" customHeight="true" outlineLevel="0" collapsed="false">
      <c r="A7" s="13" t="s">
        <v>405</v>
      </c>
      <c r="B7" s="98" t="n">
        <v>9611</v>
      </c>
      <c r="C7" s="15" t="s">
        <v>406</v>
      </c>
    </row>
    <row r="8" customFormat="false" ht="15" hidden="false" customHeight="true" outlineLevel="0" collapsed="false">
      <c r="A8" s="13" t="s">
        <v>407</v>
      </c>
      <c r="B8" s="98" t="n">
        <v>28107</v>
      </c>
      <c r="C8" s="15" t="s">
        <v>408</v>
      </c>
    </row>
    <row r="9" customFormat="false" ht="15" hidden="false" customHeight="true" outlineLevel="0" collapsed="false">
      <c r="A9" s="13" t="s">
        <v>409</v>
      </c>
      <c r="B9" s="98" t="n">
        <v>19800</v>
      </c>
      <c r="C9" s="15" t="s">
        <v>406</v>
      </c>
    </row>
    <row r="10" customFormat="false" ht="27.75" hidden="false" customHeight="true" outlineLevel="0" collapsed="false">
      <c r="A10" s="13" t="s">
        <v>410</v>
      </c>
      <c r="B10" s="76" t="n">
        <v>0.1</v>
      </c>
      <c r="C10" s="15" t="s">
        <v>411</v>
      </c>
    </row>
    <row r="11" customFormat="false" ht="27.75" hidden="false" customHeight="true" outlineLevel="0" collapsed="false">
      <c r="A11" s="13" t="s">
        <v>412</v>
      </c>
      <c r="B11" s="98" t="n">
        <v>22245</v>
      </c>
      <c r="C11" s="15" t="s">
        <v>413</v>
      </c>
    </row>
    <row r="12" customFormat="false" ht="27.75" hidden="false" customHeight="true" outlineLevel="0" collapsed="false">
      <c r="A12" s="13" t="s">
        <v>414</v>
      </c>
      <c r="B12" s="98" t="n">
        <v>2750</v>
      </c>
      <c r="C12" s="15" t="s">
        <v>415</v>
      </c>
    </row>
    <row r="13" customFormat="false" ht="39.75" hidden="false" customHeight="true" outlineLevel="0" collapsed="false">
      <c r="A13" s="13" t="s">
        <v>416</v>
      </c>
      <c r="B13" s="76" t="n">
        <v>0.03</v>
      </c>
      <c r="C13" s="15" t="s">
        <v>417</v>
      </c>
    </row>
    <row r="15" customFormat="false" ht="15" hidden="false" customHeight="true" outlineLevel="0" collapsed="false">
      <c r="A15" s="12" t="s">
        <v>65</v>
      </c>
      <c r="B15" s="12" t="s">
        <v>259</v>
      </c>
      <c r="C15" s="12" t="s">
        <v>260</v>
      </c>
      <c r="D15" s="12" t="s">
        <v>261</v>
      </c>
      <c r="E15" s="12" t="s">
        <v>262</v>
      </c>
      <c r="F15" s="12" t="s">
        <v>263</v>
      </c>
    </row>
    <row r="16" customFormat="false" ht="15" hidden="false" customHeight="true" outlineLevel="0" collapsed="false">
      <c r="A16" s="3" t="s">
        <v>418</v>
      </c>
    </row>
    <row r="17" customFormat="false" ht="15" hidden="false" customHeight="true" outlineLevel="0" collapsed="false">
      <c r="A17" s="13" t="s">
        <v>419</v>
      </c>
      <c r="B17" s="122" t="n">
        <f aca="false">'Pro Forma Income Statement'!B69</f>
        <v>70119.0991106499</v>
      </c>
      <c r="C17" s="122" t="n">
        <f aca="false">'Pro Forma Income Statement'!C69</f>
        <v>78465.0419256799</v>
      </c>
      <c r="D17" s="122" t="n">
        <f aca="false">'Pro Forma Income Statement'!D69</f>
        <v>87217.9359235688</v>
      </c>
      <c r="E17" s="122" t="n">
        <f aca="false">'Pro Forma Income Statement'!E69</f>
        <v>96547.4401495539</v>
      </c>
      <c r="F17" s="122" t="n">
        <f aca="false">'Pro Forma Income Statement'!F69</f>
        <v>108417.516453088</v>
      </c>
    </row>
    <row r="18" customFormat="false" ht="15" hidden="false" customHeight="true" outlineLevel="0" collapsed="false">
      <c r="A18" s="13" t="s">
        <v>420</v>
      </c>
      <c r="B18" s="122" t="n">
        <f aca="false">-'Pro Forma Income Statement'!B47</f>
        <v>3071.625</v>
      </c>
      <c r="C18" s="122" t="n">
        <f aca="false">-'Pro Forma Income Statement'!C47</f>
        <v>3071.625</v>
      </c>
      <c r="D18" s="122" t="n">
        <f aca="false">-'Pro Forma Income Statement'!D47</f>
        <v>3071.625</v>
      </c>
      <c r="E18" s="122" t="n">
        <f aca="false">-'Pro Forma Income Statement'!E47</f>
        <v>3071.625</v>
      </c>
      <c r="F18" s="122" t="n">
        <f aca="false">-'Pro Forma Income Statement'!F47</f>
        <v>484.125</v>
      </c>
      <c r="G18" s="20" t="s">
        <v>421</v>
      </c>
    </row>
    <row r="19" customFormat="false" ht="15" hidden="false" customHeight="true" outlineLevel="0" collapsed="false">
      <c r="A19" s="13" t="s">
        <v>422</v>
      </c>
      <c r="B19" s="101" t="n">
        <f aca="false">$B$6*('Pro Forma Income Statement'!B40/'Pro Forma Income Statement'!$B$40)</f>
        <v>13861</v>
      </c>
      <c r="C19" s="101" t="n">
        <f aca="false">$B$6*('Pro Forma Income Statement'!C40/'Pro Forma Income Statement'!$B$40)</f>
        <v>15237.589957939</v>
      </c>
      <c r="D19" s="101" t="n">
        <f aca="false">$B$6*('Pro Forma Income Statement'!D40/'Pro Forma Income Statement'!$B$40)</f>
        <v>16751.0781083069</v>
      </c>
      <c r="E19" s="101" t="n">
        <f aca="false">$B$6*('Pro Forma Income Statement'!E40/'Pro Forma Income Statement'!$B$40)</f>
        <v>18415.0934060777</v>
      </c>
      <c r="F19" s="101" t="n">
        <f aca="false">$B$6*('Pro Forma Income Statement'!F40/'Pro Forma Income Statement'!$B$40)</f>
        <v>20244.6228325806</v>
      </c>
      <c r="G19" s="20" t="s">
        <v>423</v>
      </c>
    </row>
    <row r="20" customFormat="false" ht="15" hidden="false" customHeight="true" outlineLevel="0" collapsed="false">
      <c r="A20" s="13" t="s">
        <v>424</v>
      </c>
      <c r="B20" s="101" t="n">
        <f aca="false">$B$7*('Pro Forma Income Statement'!B40/'Pro Forma Income Statement'!$B$40)</f>
        <v>9611</v>
      </c>
      <c r="C20" s="101" t="n">
        <f aca="false">$B$7*('Pro Forma Income Statement'!C40/'Pro Forma Income Statement'!$B$40)</f>
        <v>10565.5058859932</v>
      </c>
      <c r="D20" s="101" t="n">
        <f aca="false">$B$7*('Pro Forma Income Statement'!D40/'Pro Forma Income Statement'!$B$40)</f>
        <v>11614.9348314651</v>
      </c>
      <c r="E20" s="101" t="n">
        <f aca="false">$B$7*('Pro Forma Income Statement'!E40/'Pro Forma Income Statement'!$B$40)</f>
        <v>12768.7369400341</v>
      </c>
      <c r="F20" s="101" t="n">
        <f aca="false">$B$7*('Pro Forma Income Statement'!F40/'Pro Forma Income Statement'!$B$40)</f>
        <v>14037.3039494937</v>
      </c>
    </row>
    <row r="21" customFormat="false" ht="27.75" hidden="false" customHeight="true" outlineLevel="0" collapsed="false">
      <c r="A21" s="13" t="s">
        <v>425</v>
      </c>
      <c r="B21" s="101" t="n">
        <f aca="false">-$B$13*('Pro Forma Income Statement'!B40-'Pro Forma Income Statement'!$E$5)</f>
        <v>-0</v>
      </c>
      <c r="C21" s="101" t="n">
        <f aca="false">-$B$13*('Pro Forma Income Statement'!C40-'Pro Forma Income Statement'!B40)</f>
        <v>-653.812200000001</v>
      </c>
      <c r="D21" s="101" t="n">
        <f aca="false">-$B$13*('Pro Forma Income Statement'!D40-'Pro Forma Income Statement'!C40)</f>
        <v>-718.832076000002</v>
      </c>
      <c r="E21" s="101" t="n">
        <f aca="false">-$B$13*('Pro Forma Income Statement'!E40-'Pro Forma Income Statement'!D40)</f>
        <v>-790.325032080001</v>
      </c>
      <c r="F21" s="101" t="n">
        <f aca="false">-$B$13*('Pro Forma Income Statement'!F40-'Pro Forma Income Statement'!E40)</f>
        <v>-868.936063646401</v>
      </c>
      <c r="G21" s="20" t="s">
        <v>426</v>
      </c>
    </row>
    <row r="22" customFormat="false" ht="15" hidden="false" customHeight="true" outlineLevel="0" collapsed="false">
      <c r="A22" s="27" t="s">
        <v>418</v>
      </c>
      <c r="B22" s="99" t="n">
        <f aca="false">B17+B18+B19+B20+B21</f>
        <v>96662.7241106499</v>
      </c>
      <c r="C22" s="99" t="n">
        <f aca="false">C17+C18+C19+C20+C21</f>
        <v>106685.950569612</v>
      </c>
      <c r="D22" s="99" t="n">
        <f aca="false">D17+D18+D19+D20+D21</f>
        <v>117936.741787341</v>
      </c>
      <c r="E22" s="99" t="n">
        <f aca="false">E17+E18+E19+E20+E21</f>
        <v>130012.570463586</v>
      </c>
      <c r="F22" s="99" t="n">
        <f aca="false">F17+F18+F19+F20+F21</f>
        <v>142314.632171516</v>
      </c>
    </row>
    <row r="24" customFormat="false" ht="15" hidden="false" customHeight="true" outlineLevel="0" collapsed="false">
      <c r="A24" s="3" t="s">
        <v>427</v>
      </c>
    </row>
    <row r="25" customFormat="false" ht="15" hidden="false" customHeight="true" outlineLevel="0" collapsed="false">
      <c r="A25" s="13" t="s">
        <v>428</v>
      </c>
      <c r="B25" s="101" t="n">
        <f aca="false">-$B$8*('Pro Forma Income Statement'!B40/'Pro Forma Income Statement'!$B$40)</f>
        <v>-28107</v>
      </c>
      <c r="C25" s="101" t="n">
        <f aca="false">-$B$8*('Pro Forma Income Statement'!C40/'Pro Forma Income Statement'!$B$40)</f>
        <v>-30898.4157671013</v>
      </c>
      <c r="D25" s="101" t="n">
        <f aca="false">-$B$8*('Pro Forma Income Statement'!D40/'Pro Forma Income Statement'!$B$40)</f>
        <v>-33967.4303722807</v>
      </c>
      <c r="E25" s="101" t="n">
        <f aca="false">-$B$8*('Pro Forma Income Statement'!E40/'Pro Forma Income Statement'!$B$40)</f>
        <v>-37341.6802802557</v>
      </c>
      <c r="F25" s="101" t="n">
        <f aca="false">-$B$8*('Pro Forma Income Statement'!F40/'Pro Forma Income Statement'!$B$40)</f>
        <v>-41051.5557286879</v>
      </c>
    </row>
    <row r="26" customFormat="false" ht="39.75" hidden="false" customHeight="true" outlineLevel="0" collapsed="false">
      <c r="A26" s="27" t="s">
        <v>427</v>
      </c>
      <c r="B26" s="99" t="n">
        <f aca="false">B25</f>
        <v>-28107</v>
      </c>
      <c r="C26" s="99" t="n">
        <f aca="false">C25</f>
        <v>-30898.4157671013</v>
      </c>
      <c r="D26" s="99" t="n">
        <f aca="false">D25</f>
        <v>-33967.4303722807</v>
      </c>
      <c r="E26" s="99" t="n">
        <f aca="false">E25</f>
        <v>-37341.6802802557</v>
      </c>
      <c r="F26" s="99" t="n">
        <f aca="false">F25</f>
        <v>-41051.5557286879</v>
      </c>
      <c r="G26" s="20" t="s">
        <v>429</v>
      </c>
    </row>
    <row r="28" customFormat="false" ht="15" hidden="false" customHeight="true" outlineLevel="0" collapsed="false">
      <c r="A28" s="3" t="s">
        <v>430</v>
      </c>
    </row>
    <row r="29" customFormat="false" ht="15" hidden="false" customHeight="true" outlineLevel="0" collapsed="false">
      <c r="A29" s="13" t="s">
        <v>431</v>
      </c>
      <c r="B29" s="101" t="n">
        <f aca="false">-$B$9*(1+$B$10)</f>
        <v>-21780</v>
      </c>
      <c r="C29" s="101" t="n">
        <f aca="false">B29*(1+$B$10)</f>
        <v>-23958</v>
      </c>
      <c r="D29" s="101" t="n">
        <f aca="false">C29*(1+$B$10)</f>
        <v>-26353.8</v>
      </c>
      <c r="E29" s="101" t="n">
        <f aca="false">D29*(1+$B$10)</f>
        <v>-28989.18</v>
      </c>
      <c r="F29" s="101" t="n">
        <f aca="false">E29*(1+$B$10)</f>
        <v>-31888.098</v>
      </c>
    </row>
    <row r="30" customFormat="false" ht="15" hidden="false" customHeight="true" outlineLevel="0" collapsed="false">
      <c r="A30" s="13" t="s">
        <v>432</v>
      </c>
      <c r="B30" s="101" t="n">
        <f aca="false">-$B$11</f>
        <v>-22245</v>
      </c>
      <c r="C30" s="101" t="n">
        <f aca="false">-$B$11</f>
        <v>-22245</v>
      </c>
      <c r="D30" s="101" t="n">
        <f aca="false">-$B$11</f>
        <v>-22245</v>
      </c>
      <c r="E30" s="101" t="n">
        <f aca="false">-$B$11</f>
        <v>-22245</v>
      </c>
      <c r="F30" s="101" t="n">
        <f aca="false">-$B$11</f>
        <v>-22245</v>
      </c>
    </row>
    <row r="31" customFormat="false" ht="15" hidden="false" customHeight="true" outlineLevel="0" collapsed="false">
      <c r="A31" s="13" t="s">
        <v>433</v>
      </c>
      <c r="B31" s="101" t="n">
        <f aca="false">-$B$12</f>
        <v>-2750</v>
      </c>
      <c r="C31" s="101" t="n">
        <f aca="false">-$B$12</f>
        <v>-2750</v>
      </c>
      <c r="D31" s="101" t="n">
        <f aca="false">-$B$12</f>
        <v>-2750</v>
      </c>
      <c r="E31" s="101" t="n">
        <f aca="false">-$B$12</f>
        <v>-2750</v>
      </c>
      <c r="F31" s="101" t="n">
        <f aca="false">-$B$12</f>
        <v>-2750</v>
      </c>
    </row>
    <row r="32" customFormat="false" ht="15" hidden="false" customHeight="true" outlineLevel="0" collapsed="false">
      <c r="A32" s="27" t="s">
        <v>430</v>
      </c>
      <c r="B32" s="99" t="n">
        <f aca="false">B29+B30+B31</f>
        <v>-46775</v>
      </c>
      <c r="C32" s="99" t="n">
        <f aca="false">C29+C30+C31</f>
        <v>-48953</v>
      </c>
      <c r="D32" s="99" t="n">
        <f aca="false">D29+D30+D31</f>
        <v>-51348.8</v>
      </c>
      <c r="E32" s="99" t="n">
        <f aca="false">E29+E30+E31</f>
        <v>-53984.18</v>
      </c>
      <c r="F32" s="99" t="n">
        <f aca="false">F29+F30+F31</f>
        <v>-56883.098</v>
      </c>
    </row>
    <row r="35" customFormat="false" ht="15" hidden="false" customHeight="true" outlineLevel="0" collapsed="false">
      <c r="A35" s="3" t="s">
        <v>434</v>
      </c>
    </row>
    <row r="36" customFormat="false" ht="15" hidden="false" customHeight="true" outlineLevel="0" collapsed="false">
      <c r="A36" s="27" t="s">
        <v>435</v>
      </c>
      <c r="B36" s="99" t="n">
        <f aca="false">B22+B26+B32</f>
        <v>21780.7241106499</v>
      </c>
      <c r="C36" s="99" t="n">
        <f aca="false">C22+C26+C32</f>
        <v>26834.5348025108</v>
      </c>
      <c r="D36" s="99" t="n">
        <f aca="false">D22+D26+D32</f>
        <v>32620.5114150601</v>
      </c>
      <c r="E36" s="99" t="n">
        <f aca="false">E22+E26+E32</f>
        <v>38686.7101833299</v>
      </c>
      <c r="F36" s="99" t="n">
        <f aca="false">F22+F26+F32</f>
        <v>44379.9784428284</v>
      </c>
    </row>
    <row r="37" customFormat="false" ht="27.75" hidden="false" customHeight="true" outlineLevel="0" collapsed="false">
      <c r="A37" s="13" t="s">
        <v>436</v>
      </c>
      <c r="B37" s="122" t="n">
        <f aca="false">'Pro Forma Balance Sheet'!B82+'Pro Forma Balance Sheet'!B83</f>
        <v>122457</v>
      </c>
      <c r="C37" s="101" t="n">
        <f aca="false">B38</f>
        <v>144237.72411065</v>
      </c>
      <c r="D37" s="101" t="n">
        <f aca="false">C38</f>
        <v>171072.258913161</v>
      </c>
      <c r="E37" s="101" t="n">
        <f aca="false">D38</f>
        <v>203692.770328221</v>
      </c>
      <c r="F37" s="101" t="n">
        <f aca="false">E38</f>
        <v>242379.480511551</v>
      </c>
      <c r="G37" s="20" t="s">
        <v>437</v>
      </c>
    </row>
    <row r="38" customFormat="false" ht="15" hidden="false" customHeight="true" outlineLevel="0" collapsed="false">
      <c r="A38" s="27" t="s">
        <v>438</v>
      </c>
      <c r="B38" s="99" t="n">
        <f aca="false">B37+B36</f>
        <v>144237.72411065</v>
      </c>
      <c r="C38" s="99" t="n">
        <f aca="false">C37+C36</f>
        <v>171072.258913161</v>
      </c>
      <c r="D38" s="99" t="n">
        <f aca="false">D37+D36</f>
        <v>203692.770328221</v>
      </c>
      <c r="E38" s="99" t="n">
        <f aca="false">E37+E36</f>
        <v>242379.480511551</v>
      </c>
      <c r="F38" s="99" t="n">
        <f aca="false">F37+F36</f>
        <v>286759.458954379</v>
      </c>
    </row>
    <row r="40" customFormat="false" ht="15" hidden="false" customHeight="false" outlineLevel="0" collapsed="false">
      <c r="A40" s="96" t="s">
        <v>439</v>
      </c>
      <c r="B40" s="121"/>
      <c r="C40" s="121"/>
      <c r="D40" s="121"/>
      <c r="E40" s="121"/>
      <c r="F40" s="121"/>
      <c r="G40" s="121"/>
    </row>
    <row r="41" customFormat="false" ht="45" hidden="false" customHeight="true" outlineLevel="0" collapsed="false">
      <c r="A41" s="74" t="s">
        <v>440</v>
      </c>
      <c r="B41" s="74"/>
      <c r="C41" s="74"/>
      <c r="D41" s="74"/>
      <c r="E41" s="74"/>
      <c r="F41" s="74"/>
      <c r="G41" s="74"/>
    </row>
    <row r="43" customFormat="false" ht="15" hidden="false" customHeight="false" outlineLevel="0" collapsed="false">
      <c r="A43" s="12" t="s">
        <v>65</v>
      </c>
      <c r="B43" s="12" t="s">
        <v>259</v>
      </c>
      <c r="C43" s="12" t="s">
        <v>260</v>
      </c>
      <c r="D43" s="12" t="s">
        <v>261</v>
      </c>
      <c r="E43" s="12" t="s">
        <v>262</v>
      </c>
      <c r="F43" s="12" t="s">
        <v>263</v>
      </c>
    </row>
    <row r="44" customFormat="false" ht="15" hidden="false" customHeight="false" outlineLevel="0" collapsed="false">
      <c r="A44" s="13" t="s">
        <v>441</v>
      </c>
      <c r="B44" s="101" t="n">
        <f aca="false">B36</f>
        <v>21780.7241106499</v>
      </c>
      <c r="C44" s="101" t="n">
        <f aca="false">B44+C36</f>
        <v>48615.2589131607</v>
      </c>
      <c r="D44" s="101" t="n">
        <f aca="false">C44+D36</f>
        <v>81235.7703282208</v>
      </c>
      <c r="E44" s="101" t="n">
        <f aca="false">D44+E36</f>
        <v>119922.480511551</v>
      </c>
      <c r="F44" s="101" t="n">
        <f aca="false">E44+F36</f>
        <v>164302.458954379</v>
      </c>
    </row>
    <row r="45" customFormat="false" ht="15" hidden="false" customHeight="false" outlineLevel="0" collapsed="false">
      <c r="A45" s="13" t="s">
        <v>442</v>
      </c>
      <c r="B45" s="122" t="n">
        <f aca="false">'Sources &amp; Uses'!B15</f>
        <v>61800</v>
      </c>
      <c r="C45" s="20" t="s">
        <v>443</v>
      </c>
    </row>
    <row r="46" customFormat="false" ht="15" hidden="false" customHeight="false" outlineLevel="0" collapsed="false">
      <c r="A46" s="13" t="s">
        <v>444</v>
      </c>
      <c r="B46" s="77" t="n">
        <f aca="false">B44/$B$45</f>
        <v>0.352438901466826</v>
      </c>
      <c r="C46" s="77" t="n">
        <f aca="false">C44/$B$45</f>
        <v>0.786654674970237</v>
      </c>
      <c r="D46" s="77" t="n">
        <f aca="false">D44/$B$45</f>
        <v>1.31449466550519</v>
      </c>
      <c r="E46" s="77" t="n">
        <f aca="false">E44/$B$45</f>
        <v>1.94049321216101</v>
      </c>
      <c r="F46" s="77" t="n">
        <f aca="false">F44/$B$45</f>
        <v>2.65861584068574</v>
      </c>
    </row>
    <row r="48" customFormat="false" ht="27.75" hidden="false" customHeight="true" outlineLevel="0" collapsed="false">
      <c r="A48" s="27" t="s">
        <v>445</v>
      </c>
      <c r="B48" s="123" t="n">
        <f aca="false">IF(B44&gt;=$B$45, ($B$45-0)/B36, IF(C44&gt;=$B$45, 1+($B$45-B44)/C36, IF(D44&gt;=$B$45, 2+($B$45-C44)/D36, IF(E44&gt;=$B$45, 3+($B$45-D44)/E36, IF(F44&gt;=$B$45, 4+($B$45-E44)/F36, "Beyond Year 5")))))</f>
        <v>2.40418560331805</v>
      </c>
      <c r="C48" s="20" t="s">
        <v>446</v>
      </c>
    </row>
  </sheetData>
  <mergeCells count="2">
    <mergeCell ref="A2:G2"/>
    <mergeCell ref="A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2026-08-11T17:18:29Z</dcterms:created>
  <dc:creator>openpyxl</dc:creator>
  <dc:description/>
  <dc:language>en-US</dc:language>
  <cp:lastModifiedBy/>
  <dcterms:modified xsi:type="dcterms:W3CDTF">2026-08-11T17:21:10Z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