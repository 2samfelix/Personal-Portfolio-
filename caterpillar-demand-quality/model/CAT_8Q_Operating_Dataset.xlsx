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nalysis" sheetId="2" state="visible" r:id="rId4"/>
    <sheet name="Consolidated" sheetId="3" state="visible" r:id="rId5"/>
    <sheet name="Construction Industries" sheetId="4" state="visible" r:id="rId6"/>
    <sheet name="Resource Industries" sheetId="5" state="visible" r:id="rId7"/>
    <sheet name="Power and Energy" sheetId="6" state="visible" r:id="rId8"/>
    <sheet name="Dealer Inventory" sheetId="7" state="visible" r:id="rId9"/>
    <sheet name="Retail Statistics" sheetId="8" state="visible" r:id="rId10"/>
    <sheet name="Cash Flow" sheetId="9" state="visible" r:id="rId11"/>
    <sheet name="Comparability Log" sheetId="10" state="visible" r:id="rId12"/>
    <sheet name="Source Index"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<sst xmlns="http://schemas.openxmlformats.org/spreadsheetml/2006/main" count="642" uniqueCount="387">
  <si>
    <t xml:space="preserve">Caterpillar — Eight-Quarter Operating Dataset, Q3 2024 to Q2 2026</t>
  </si>
  <si>
    <t xml:space="preserve">Supporting workbook for the case study "Caterpillar demand quality". Every figure traces to a document listed on the Source Index tab.</t>
  </si>
  <si>
    <t xml:space="preserve">Financial figures are sourced to Caterpillar and SEC filings wherever available. Management commentary not reproduced in a filing is</t>
  </si>
  <si>
    <t xml:space="preserve">identified as earnings-call commentary and supported by transcript sources. No third-party estimates or analyst summaries are used as</t>
  </si>
  <si>
    <t xml:space="preserve">financial inputs. All 17 source links were opened and confirmed live on 5 October 2026.</t>
  </si>
  <si>
    <t xml:space="preserve">START HERE</t>
  </si>
  <si>
    <t xml:space="preserve">  1.  Analysis — the worked question: did growth come from end-user demand or dealer restocking? Everything else feeds this tab.</t>
  </si>
  <si>
    <t xml:space="preserve">  2.  Construction Industries, Dealer Inventory, Retail Statistics — the three tabs the finding actually rests on.</t>
  </si>
  <si>
    <t xml:space="preserve">  3.  Comparability Log — 16 logged issues. Read this before reusing any series. It is the reason several obvious charts are wrong.</t>
  </si>
  <si>
    <t xml:space="preserve">  4.  Source Index — every document, with a direct link.</t>
  </si>
  <si>
    <t xml:space="preserve">Tab colours follow that path: blue = start, green = destination, grey = source data, orange = logs and sourcing.</t>
  </si>
  <si>
    <t xml:space="preserve">CLASSIFICATION</t>
  </si>
  <si>
    <t xml:space="preserve">  SOURCED        read directly from a primary document</t>
  </si>
  <si>
    <t xml:space="preserve">  DERIVED        calculated from sourced figures; the calculation is shown</t>
  </si>
  <si>
    <t xml:space="preserve">  BACK-SOLVED    backed out as the residual of other disclosed figures because the filing gives it only rounded or not at all. Typed as a value in orange and flagged in a note. A bridge that uses one closes by construction and is NOT an independent check.</t>
  </si>
  <si>
    <t xml:space="preserve">  NOT COLLECTED  left blank because it was not captured in this pass; it may exist in a filing. Never treated as zero.</t>
  </si>
  <si>
    <t xml:space="preserve">  NOT DISCLOSED  the company did not publish it. Left blank. Never estimated.</t>
  </si>
  <si>
    <t xml:space="preserve">  CALC marks a live formula row (its inputs carry their own class). INFERRED is used in notes only, where a scope or period qualifier could not be recovered. No figure is an estimate; 4 figures are BACK-SOLVED (Consolidated I8, Construction Industries E6, Resource Industries E6, Power and Energy E7).</t>
  </si>
  <si>
    <t xml:space="preserve">RECONCILIATION</t>
  </si>
  <si>
    <t xml:space="preserve">  Each bridge tab (three segments and the consolidated total) carries a RECONCILIATION row: disclosed volume, price realization, currency and inter-segment components, less the reported sales change. All 32 rows return zero; 28 reconcile independently.</t>
  </si>
  <si>
    <t xml:space="preserve">  4 checks need caveats: 3 use a BACK-SOLVED prior-year value (CI, RI and P&amp;E Q2 2025) and close by construction; 1 depends on a component disclosed only as "$3.1B" (Consolidated Q2 2026). A non-zero value anywhere means the tab has been edited.</t>
  </si>
  <si>
    <t xml:space="preserve">THREE THINGS THAT WILL BREAK THIS DATASET IF IGNORED — see Comparability Log</t>
  </si>
  <si>
    <t xml:space="preserve">  1.  SEGMENT REORGANISATION. "Energy &amp; Transportation" became "Power &amp; Energy", and this was not only a rename: roughly $800M per</t>
  </si>
  <si>
    <t xml:space="preserve">      quarter moved from that segment into Resource Industries. Prior-year comparatives in the 2026 releases do not match the same</t>
  </si>
  <si>
    <t xml:space="preserve">      quarters as originally reported. Those two series are split into two vintages and MUST NOT be charted as one continuous line.</t>
  </si>
  <si>
    <t xml:space="preserve">  2.  CONSTRUCTION INDUSTRIES IS UNAFFECTED. CI figures agree across every release vintage. A CI-based thesis sits on clean ground;</t>
  </si>
  <si>
    <t xml:space="preserve">      an RI or P&amp;E one does not. This is why the analysis is built on CI.</t>
  </si>
  <si>
    <t xml:space="preserve">  3.  RETAIL BASIS WORDING CHANGED FOR 2026 — but the CI values did not. This is NOT a recast. The only CI period appearing in both</t>
  </si>
  <si>
    <t xml:space="preserve">      filing vintages is Q2 2025, and it reads UP 2% in each. The same cross-vintage test DOES detect a change in the Power &amp; Energy</t>
  </si>
  <si>
    <t xml:space="preserve">      total (9% to 10%), so it is sensitive enough to catch a recast. CI did not move.</t>
  </si>
  <si>
    <t xml:space="preserve">Retail statistics are kept on their own tab and are NOT on the same basis as reported sales. Do not subtract one from the other.</t>
  </si>
  <si>
    <t xml:space="preserve">The reported-vs-retail gap is a directional indicator of dealer stocking, not an exact dollar measure of inventory.</t>
  </si>
  <si>
    <t xml:space="preserve">Analysis — Construction Industries, formula-linked to the source tabs</t>
  </si>
  <si>
    <t xml:space="preserve">Cells below are formulas pointing at Consolidated / Construction Industries / Retail Statistics / Dealer Inventory / Cash Flow, with three typed exceptions: row 20 (prior-year margins, from the releases), rows 41-42 (disclosed builds, from the Dealer Inventory tab quotes) and the 0.034 in I56 (the 340 bps disclosed on the Q2 2026 call).</t>
  </si>
  <si>
    <t xml:space="preserve">CI is used because it is the only segment unaffected by the restatement (see Comparability Log item 3).</t>
  </si>
  <si>
    <t xml:space="preserve">Metric</t>
  </si>
  <si>
    <t xml:space="preserve">Q3 2024</t>
  </si>
  <si>
    <t xml:space="preserve">Q4 2024</t>
  </si>
  <si>
    <t xml:space="preserve">Q1 2025</t>
  </si>
  <si>
    <t xml:space="preserve">Q2 2025</t>
  </si>
  <si>
    <t xml:space="preserve">Q3 2025</t>
  </si>
  <si>
    <t xml:space="preserve">Q4 2025</t>
  </si>
  <si>
    <t xml:space="preserve">Q1 2026</t>
  </si>
  <si>
    <t xml:space="preserve">Q2 2026</t>
  </si>
  <si>
    <t xml:space="preserve">Class</t>
  </si>
  <si>
    <t xml:space="preserve">CI reported sales growth %</t>
  </si>
  <si>
    <t xml:space="preserve">CALC</t>
  </si>
  <si>
    <t xml:space="preserve">CI retail sales growth % (World)</t>
  </si>
  <si>
    <t xml:space="preserve">SOURCED link</t>
  </si>
  <si>
    <t xml:space="preserve">GAP: reported less retail (pts)</t>
  </si>
  <si>
    <t xml:space="preserve">CI price realization % of prior-yr sales</t>
  </si>
  <si>
    <t xml:space="preserve">CI volume % of prior-yr sales</t>
  </si>
  <si>
    <t xml:space="preserve">CI price-adjusted sales growth %</t>
  </si>
  <si>
    <t xml:space="preserve">ADJUSTED GAP: price-adj less retail (pts; retail is disclosed in whole %, so about +/-0.5 pt)</t>
  </si>
  <si>
    <t xml:space="preserve">CI dealer inventory change $mm</t>
  </si>
  <si>
    <t xml:space="preserve">SOURCED link / blank</t>
  </si>
  <si>
    <t xml:space="preserve">Company-wide dealer inventory change $mm</t>
  </si>
  <si>
    <t xml:space="preserve">Dealer inventory classification</t>
  </si>
  <si>
    <t xml:space="preserve">Undisclosed</t>
  </si>
  <si>
    <t xml:space="preserve">Draw</t>
  </si>
  <si>
    <t xml:space="preserve">Build (slight)</t>
  </si>
  <si>
    <t xml:space="preserve">Build</t>
  </si>
  <si>
    <t xml:space="preserve">Neutral</t>
  </si>
  <si>
    <t xml:space="preserve">From CAT wording</t>
  </si>
  <si>
    <t xml:space="preserve">CI segment profit margin</t>
  </si>
  <si>
    <t xml:space="preserve">CI prior-year margin</t>
  </si>
  <si>
    <t xml:space="preserve">SOURCED</t>
  </si>
  <si>
    <t xml:space="preserve">YoY margin change (bps)</t>
  </si>
  <si>
    <t xml:space="preserve">Standalone quarterly OCF $mm</t>
  </si>
  <si>
    <t xml:space="preserve">DERIVED link</t>
  </si>
  <si>
    <t xml:space="preserve">Standalone quarterly capex $mm</t>
  </si>
  <si>
    <t xml:space="preserve">OCF as % of consolidated sales</t>
  </si>
  <si>
    <t xml:space="preserve">Volume driver mentioned first (order of mention only)</t>
  </si>
  <si>
    <t xml:space="preserve">Not captured</t>
  </si>
  <si>
    <t xml:space="preserve">Dealer inventory (listed first)</t>
  </si>
  <si>
    <t xml:space="preserve">End-user demand (listed first)</t>
  </si>
  <si>
    <t xml:space="preserve">CAT wording only</t>
  </si>
  <si>
    <t xml:space="preserve">Q1 2026: "Higher sales volume was mainly driven by the impact from changes in dealer inventories and higher sales of equipment to end users."</t>
  </si>
  <si>
    <t xml:space="preserve">Q2 2026: "Higher sales volume was mainly driven by higher sales of equipment to end users and by the impact from changes in dealer inventories."</t>
  </si>
  <si>
    <t xml:space="preserve">INTERPRETIVE: the order of mention inverts between these two quarters (both quotes are SOURCED). Reading that order as relative magnitude is an analytical inference: Caterpillar does not say it lists drivers by size. Treat it as consistent with the dealer-inventory dollars, not as a measure of either driver.</t>
  </si>
  <si>
    <t xml:space="preserve">"Not captured" means the volume-driver sentence for that quarter has not been read from its release — NOT that no driver existed. Completing these six requires reading each release.</t>
  </si>
  <si>
    <t xml:space="preserve">LIMITATION OF THE GAP METRIC — revised 2 Oct after reading the retail basis notes.</t>
  </si>
  <si>
    <t xml:space="preserve">CORRECTION to the earlier version of this note: mix does NOT contaminate the gap the way I first wrote. Caterpillar reports CI retail sales in "price neutral dollars and based on unit sales as reported by dealers" (Ex 99.2, 2Q 2026). Both sides of the gap are therefore price-neutral dollar measures of units, so a shift toward larger machines raises BOTH and largely cancels.</t>
  </si>
  <si>
    <t xml:space="preserve">What does NOT cancel: (1) reported CI sales include parts and services, which have no counterpart in a retail series that measures machines to end users; (2) the disclosed dealer-inventory dollars are current-price, while the gap is price-neutral; (3) currency translation may be treated differently on the two sides; (4) the retail percentage is applied to a reported-sales base, because Caterpillar publishes retail only as a percentage.</t>
  </si>
  <si>
    <t xml:space="preserve">Net effect: the gap is a directional and relative measure of dealer stocking, NOT a dollar measurement. Where a disclosed dealer-inventory dollar exists, show it alongside the gap — do not let the gap stand in for it.</t>
  </si>
  <si>
    <t xml:space="preserve">VALIDATION TEST — does the gap actually measure dealer stocking?</t>
  </si>
  <si>
    <t xml:space="preserve">CONCEPTUAL RELATION, NOT AN ACCOUNTING IDENTITY: shipments to dealers are roughly retail sales to end users plus the change in dealer inventory. Because the two disclosures differ in price basis, scope, parts and services, and possibly currency (rows 33-36), row 40 is a DIRECTIONAL dollar estimate of the year-over-year change in the build, build(t) less build(t-4). Rows 41-42 are what Caterpillar actually disclosed. Only the SIGN can be tested against them.</t>
  </si>
  <si>
    <t xml:space="preserve">Implied stocking swing $mm (DERIVED from gap; directional - retail rounding alone is about +/-$30M)</t>
  </si>
  <si>
    <t xml:space="preserve">Disclosed build, this quarter $mm (SOURCED)</t>
  </si>
  <si>
    <t xml:space="preserve">Disclosed build, prior-year quarter (SOURCED)</t>
  </si>
  <si>
    <t xml:space="preserve">slight decrease (unquantified)</t>
  </si>
  <si>
    <t xml:space="preserve">decrease (unquantified)</t>
  </si>
  <si>
    <t xml:space="preserve">Scope of the disclosed figures</t>
  </si>
  <si>
    <t xml:space="preserve">Company-wide</t>
  </si>
  <si>
    <t xml:space="preserve">CI</t>
  </si>
  <si>
    <t xml:space="preserve">Q1 2025: implied -1,078 (CI estimate) against a company-wide swing of -1,300 (+100 less +1,400, both disclosed; the swing is DERIVED). SIGN AGREES. Scope differs (CI estimate vs company-wide disclosure), so magnitude is not tested.</t>
  </si>
  <si>
    <t xml:space="preserve">Q2 2026: implied +485 against a disclosed CI build of +400. The prior-year (Q2 2025) CI build has no dollar figure, only the CI North America narrative "dealer inventory decreased during the second quarter of 2025". SIGN AGREES; magnitude untestable.</t>
  </si>
  <si>
    <t xml:space="preserve">Q3 2025: implied +233. No dollar disclosed, but the narrative is an increase in Q3 2025 against a decrease in Q3 2024. Sign agrees; magnitude untestable.</t>
  </si>
  <si>
    <t xml:space="preserve">Q1 2026: implied +1,258 against a disclosed CI build of +1,500; the prior-year quarter was a 'slight decrease' (unquantified), so the true swing exceeds +1,500 by an unknown amount. SIGN AGREES; magnitude untestable.</t>
  </si>
  <si>
    <t xml:space="preserve">REFUTED — this is NOT a retail recast. The only CI period appearing in BOTH filing vintages is Q2 2025, and it reads UP 2% in each. The same cross-vintage test DOES detect a change in the Power &amp; Energy Total (9% to 10%), so the test is sensitive enough to catch a recast — CI simply did not move. The 2026 realignment note concerns Rail / Resource Industries and Industrial, not Construction Industries.</t>
  </si>
  <si>
    <t xml:space="preserve">IF the Q1 2026 estimate falls short of the true swing (untestable, see row 48), likely contributors are: (a) the $1.5B build is current-price while the gap is price-neutral; (b) reported CI sales include parts and services, so applying the retail percentage to the full reported base overstates retail dollars and understates the gap. Both are directional; neither is quantifiable from disclosure. JUDGMENT, not a calculation.</t>
  </si>
  <si>
    <t xml:space="preserve">Sign agrees in all four testable quarters. No magnitude can be tested: each comparison either lacks a quantified prior-year CI build (Q1 2026, Q2 2026, Q3 2025) or mixes scopes (Q1 2025). The gap supports direction, not size.</t>
  </si>
  <si>
    <t xml:space="preserve">UNEXPLAINED RESIDUAL: not computable, because the prior-year builds are unquantified. FX treatment on the retail side is unresolved.</t>
  </si>
  <si>
    <t xml:space="preserve">CI MARGIN, REPORTED vs EX-TARIFF (Q4 2025 - Q2 2026 only)</t>
  </si>
  <si>
    <t xml:space="preserve">Adds back the disclosed unfavorable manufacturing costs, which Caterpillar said largely reflected tariffs. DERIVED. Q2 2026 has no CI manufacturing-cost figure; column I instead uses the 340 bps tariff impact disclosed on the Q2 2026 call. DIFFERENT METHOD: column I is not comparable with G-H.</t>
  </si>
  <si>
    <t xml:space="preserve">Reported CI margin</t>
  </si>
  <si>
    <t xml:space="preserve">Tariff-related cost $mm: G-H disclosed mfg costs (largely tariffs, SOURCED); I = 340 bps x sales (DERIVED)</t>
  </si>
  <si>
    <t xml:space="preserve">CI margin excluding that drag</t>
  </si>
  <si>
    <t xml:space="preserve">Tariff drag (bps): G-H workbook method; I = 340 bps disclosed on the call</t>
  </si>
  <si>
    <t xml:space="preserve">G-H are the disclosed unfavorable CI manufacturing-cost figures (SOURCED). Caterpillar said they 'largely reflected' higher tariff costs, so treating them as the full tariff effect is an approximation. I is the 340 bps disclosed on the Q2 2026 call (CFO Kyle Epley, SOURCED), converted to about $284M here (DERIVED). G-H and I use different methods; do not read them as a trend.</t>
  </si>
  <si>
    <t xml:space="preserve">READ (INTERPRETIVE): Q4 2025 reported 14.9% is the series low; ex-tariff it sits near 20.9%, inside the 19.6-20.4% band of the surrounding quarters. Our reading is that the trough was mainly a tariff cost shock rather than demand or execution; manufacturing costs are not purely tariffs, and the Q4 2025 profit bridge leaves a $14M unitemized residual. It is NOT one-time: tariffs recur while in force. CI was still carrying about 509 bps (workbook method) in Q1 2026 and 340 bps (disclosed) in Q2 2026. Q3 2026 CI tariff guidance: INSUFFICIENT EVIDENCE (no verbatim quote captured).</t>
  </si>
  <si>
    <t xml:space="preserve">EX-TARIFF SEQUENCE: about 20.9% -&gt; 26.5% -&gt; 26.7%. Reported moves 14.9% -&gt; 21.4% -&gt; 23.3% (SOURCED), about 840 bps (DERIVED; +/-10 bps from one-decimal rounding). Lower tariff pressure and volume leverage with price realization both contributed (INTERPRETIVE), but the disclosures do not support a consistent split.</t>
  </si>
  <si>
    <t xml:space="preserve">CAVEAT — do not read ex-tariff margin as underlying performance. Price realization swung from -$60M to +$356M to +$309M largely to RECOVER tariffs. Removing the tariff cost while keeping the price taken to offset it double-counts the benefit. Ex-tariff margin is therefore an UPPER BOUND on underlying improvement. The cleanest genuine component is volume leverage.</t>
  </si>
  <si>
    <t xml:space="preserve">IEEPA RECOVERIES: Q2 2026 operating profit included $392M of expected IEEPA tariff recoveries (SOURCED). CFO Kyle Epley stated "the majority of this amount reflected in corporate items" (SOURCED). The CI share was not disclosed, so CI segment margin (23.3%) is unlikely to be materially affected; that is an INFERENCE, not a confirmed exclusion. The recovery IS one-time; the tariff costs are not. FY2026 tariff cost guidance (about $2.2B): INSUFFICIENT EVIDENCE (no verbatim quote captured).</t>
  </si>
  <si>
    <t xml:space="preserve">HEADLINE: Q4 2025 CI reported margin 14.9%, tariff-related drag ~604 bps (workbook method). Q1 2026 ~509 bps (workbook method). Q2 2026 340 bps (disclosed on the call). Ex-tariff: ~20.9% / ~26.5% / ~26.7% (upper bound, see row 62).</t>
  </si>
  <si>
    <t xml:space="preserve">VERDICT ON THE MARGIN QUESTION</t>
  </si>
  <si>
    <t xml:space="preserve">BOTH contributed, and the split cannot be measured on a consistent basis. Normalization from a tariff-depressed base is part of the recovery; volume leverage plus price realization is the rest, real but partly price taken to recover an external cost, so it should be described as "price recovering tariffs plus volume leverage", never as efficiency or cost control.</t>
  </si>
  <si>
    <t xml:space="preserve">Consolidated Sales &amp; Revenues ($mm)</t>
  </si>
  <si>
    <t xml:space="preserve">Blue = sourced. Orange = BACK-SOLVED (see note below). Black = formula. The reconciliation row is the integrity check: components must equal the change. A column with a back-solved component closes by construction.</t>
  </si>
  <si>
    <t xml:space="preserve">Line</t>
  </si>
  <si>
    <t xml:space="preserve">Total sales &amp; revenues</t>
  </si>
  <si>
    <t xml:space="preserve">Prior-year sales &amp; revenues</t>
  </si>
  <si>
    <t xml:space="preserve">Change (calc)</t>
  </si>
  <si>
    <t xml:space="preserve">Sales volume</t>
  </si>
  <si>
    <t xml:space="preserve">SOURCED (I8: BACK-SOLVED)</t>
  </si>
  <si>
    <t xml:space="preserve">Price realization</t>
  </si>
  <si>
    <t xml:space="preserve">Currency</t>
  </si>
  <si>
    <t xml:space="preserve">Inter-segment / other</t>
  </si>
  <si>
    <t xml:space="preserve">Sum of components (calc)</t>
  </si>
  <si>
    <t xml:space="preserve">RECONCILIATION (must be 0)</t>
  </si>
  <si>
    <t xml:space="preserve">Q2 2026 sales volume of 3,113 is BACK-SOLVED: the release rounds it to "$3.1 billion", so it is backed out as the residual of the disclosed total. The Q2 2026 reconciliation therefore holds only within the rounding of that disclosure; it is not an independent check. Shown in orange.</t>
  </si>
  <si>
    <t xml:space="preserve">Operating cash flow and capex are disclosed year-to-date, not per quarter — see the Cash Flow tab for what exists.</t>
  </si>
  <si>
    <t xml:space="preserve">Construction Industries ($mm) — consistent across all release vintages</t>
  </si>
  <si>
    <t xml:space="preserve">No restatement detected. CI prior-year figures in the 2026 releases match the originally reported quarters.</t>
  </si>
  <si>
    <t xml:space="preserve">Segment sales</t>
  </si>
  <si>
    <t xml:space="preserve">Prior-year segment sales</t>
  </si>
  <si>
    <t xml:space="preserve">SOURCED (E6: BACK-SOLVED)</t>
  </si>
  <si>
    <t xml:space="preserve">Volume</t>
  </si>
  <si>
    <t xml:space="preserve">Inter-segment</t>
  </si>
  <si>
    <t xml:space="preserve">Segment profit</t>
  </si>
  <si>
    <t xml:space="preserve">Segment profit margin</t>
  </si>
  <si>
    <t xml:space="preserve">Q2 2024 prior-year sales of 6,683 is BACK-SOLVED: 6,190 less the sum of the four disclosed Q2 2025 change components. The Q2 2025 reconciliation therefore closes by construction; it is not an independent check. Shown in orange.</t>
  </si>
  <si>
    <t xml:space="preserve">SEGMENT PROFIT BRIDGE — as disclosed by Caterpillar (SOURCED)</t>
  </si>
  <si>
    <t xml:space="preserve">Only the three quarters below were collected in this pass. Blank = not collected, NOT zero. Caterpillar itemises only the drivers it considers primary.</t>
  </si>
  <si>
    <t xml:space="preserve">Profit impact of sales volume</t>
  </si>
  <si>
    <t xml:space="preserve">Manufacturing costs</t>
  </si>
  <si>
    <t xml:space="preserve">Not disclosed</t>
  </si>
  <si>
    <t xml:space="preserve">Sum of disclosed drivers</t>
  </si>
  <si>
    <t xml:space="preserve">Actual profit change vs PRIOR-YEAR quarter</t>
  </si>
  <si>
    <t xml:space="preserve">Residual / undisclosed drivers (Q2 2026: entire change undisclosed)</t>
  </si>
  <si>
    <t xml:space="preserve">Q4 2025 and Q1 2026: "Unfavorable manufacturing costs largely reflected the impact of higher tariff costs." (4Q25 and 1Q26 earnings releases, Construction Industries segment discussion.) Q2 2026 discloses no manufacturing-cost driver for CI — the release says only "The increase was primarily due to the profit impact of higher sales volume," so the tariff drag cannot be quantified for that quarter and must NOT be assumed to be zero.</t>
  </si>
  <si>
    <t xml:space="preserve">Q2 2026 CI tariff impact is NOT in the release bridge above. It was disclosed on the call as 340 bps of margin (CFO Kyle Epley), converted to dollars on the Analysis tab as DERIVED. It is kept out of this bridge so the bridge stays release-sourced only.</t>
  </si>
  <si>
    <t xml:space="preserve">Resource Industries ($mm) — RESTATED, two vintages</t>
  </si>
  <si>
    <t xml:space="preserve">Do not chart as one series. The 2026 releases show Q1 2025 RI as 3,661 and Q2 2025 as 3,886; those quarters were originally reported as 2,884 and 3,087.</t>
  </si>
  <si>
    <t xml:space="preserve">Segment sales (as reported)</t>
  </si>
  <si>
    <t xml:space="preserve">Prior-year (as shown in release)</t>
  </si>
  <si>
    <t xml:space="preserve">Shaded columns are post-restatement and are not comparable with the unshaded ones. Q2 2025 prior-year was not captured; left blank rather than estimated.</t>
  </si>
  <si>
    <t xml:space="preserve">Q2 2024 prior-year of 3,206 is BACK-SOLVED: Q2 2025 sales less the four disclosed change components. The Q2 2025 reconciliation therefore closes by construction; it is not an independent check. Shown in orange.</t>
  </si>
  <si>
    <t xml:space="preserve">Energy &amp; Transportation / Power &amp; Energy ($mm) — RENAMED AND RESTATED</t>
  </si>
  <si>
    <t xml:space="preserve">Reported as "Energy &amp; Transportation" through Q3 2025 and "Power &amp; Energy" from Q4 2025. The 2026 releases also restate prior-year downward by roughly $800M per quarter.</t>
  </si>
  <si>
    <t xml:space="preserve">Segment name as reported</t>
  </si>
  <si>
    <t xml:space="preserve">E&amp;T</t>
  </si>
  <si>
    <t xml:space="preserve">P&amp;E</t>
  </si>
  <si>
    <t xml:space="preserve">SOURCED (E7: BACK-SOLVED)</t>
  </si>
  <si>
    <t xml:space="preserve">Shaded = post-restatement. Q2 2025 prior-year not captured; left blank.</t>
  </si>
  <si>
    <t xml:space="preserve">Q2 2024 prior-year of 7,337 is BACK-SOLVED: Q2 2025 sales less the four disclosed change components. The Q2 2025 reconciliation therefore closes by construction; it is not an independent check. Shown in orange.</t>
  </si>
  <si>
    <t xml:space="preserve">Dealer Inventory Change — disclosure is inconsistent across quarters</t>
  </si>
  <si>
    <t xml:space="preserve">Four of eight quarters now carry a company-wide dollar figure; two carry a Construction Industries figure. The scope changes mid-series, so the column you read matters.</t>
  </si>
  <si>
    <t xml:space="preserve">Quarter</t>
  </si>
  <si>
    <t xml:space="preserve">Company-wide $mm</t>
  </si>
  <si>
    <t xml:space="preserve">Scope</t>
  </si>
  <si>
    <t xml:space="preserve">Disclosed language (verbatim)</t>
  </si>
  <si>
    <t xml:space="preserve">Source</t>
  </si>
  <si>
    <t xml:space="preserve">CI-specific $mm</t>
  </si>
  <si>
    <t xml:space="preserve">Verification</t>
  </si>
  <si>
    <t xml:space="preserve">Narrative only</t>
  </si>
  <si>
    <t xml:space="preserve">"Dealer inventory increased less during the third quarter of 2024 than during the third quarter of 2023."</t>
  </si>
  <si>
    <t xml:space="preserve">3Q24 earnings release</t>
  </si>
  <si>
    <t xml:space="preserve">NOT DISCLOSED ($)</t>
  </si>
  <si>
    <t xml:space="preserve">Company-wide figure as disclosed; no CI split published.</t>
  </si>
  <si>
    <t xml:space="preserve">"Dealer inventory decreased by $1.3 billion during the fourth quarter of 2024, compared with a decrease of $900 million during the fourth quarter of 2023."</t>
  </si>
  <si>
    <t xml:space="preserve">4Q24 earnings release</t>
  </si>
  <si>
    <t xml:space="preserve">"Dealer inventory increased by $100 million during the first quarter of 2025, compared with an increase of $1.4 billion during the first quarter of 2024."</t>
  </si>
  <si>
    <t xml:space="preserve">1Q25 earnings release</t>
  </si>
  <si>
    <t xml:space="preserve">Narrative, regional</t>
  </si>
  <si>
    <t xml:space="preserve">"Dealer inventory decreased during the second quarter of 2025, while remaining about flat during the second quarter of 2024." (CI North America)</t>
  </si>
  <si>
    <t xml:space="preserve">2Q25 earnings release</t>
  </si>
  <si>
    <t xml:space="preserve">"Dealer inventory increased during the third quarter of 2025, compared with a decrease during the third quarter of 2024." (CI Asia/Pacific)</t>
  </si>
  <si>
    <t xml:space="preserve">3Q25 earnings release</t>
  </si>
  <si>
    <t xml:space="preserve">"Total dealer inventory remained about flat during the fourth quarter of 2025, compared with a decrease of $1.3 billion during the fourth quarter of 2024."</t>
  </si>
  <si>
    <t xml:space="preserve">4Q25 earnings release</t>
  </si>
  <si>
    <t xml:space="preserve">Company-wide AND CI split</t>
  </si>
  <si>
    <t xml:space="preserve">10-Q: "dealer inventory increased $2.0 billion"  |  10-Q: "Construction Industries dealer inventory increased by $1.5 billion"  |  Call (corroborating, CFO Bonfield): "a more typical $1.5 billion increase in the first quarter as compared to a slight decrease in the prior year."</t>
  </si>
  <si>
    <t xml:space="preserve">Q1 2026 Form 10-Q, Item 2 MD&amp;A — accession 0000018230-26-000021; corroborated by Q1 2026 earnings call</t>
  </si>
  <si>
    <t xml:space="preserve">$2.0B company-wide and $1.5B CI both confirmed in the filed 10-Q. Verified by EDGAR full-text search exact-phrase match against the filed document (efts.sec.gov). The phrase is confirmed present in the filing; the surrounding sentence was NOT read, because the 4.6MB primary document truncates before Item 2. SCOPE/PERIOD OF THE $2.0B IS INFERRED (company-wide, three months ended 31 Mar 2026): the amount is sourced, but the filing's period qualifier was not recoverable.</t>
  </si>
  <si>
    <t xml:space="preserve">CI only</t>
  </si>
  <si>
    <t xml:space="preserve">10-Q: "Construction Industries dealer inventory increased by $400 million"  |  Call (corroborating): "Dealer inventory increased by about $400 million in Construction Industries."</t>
  </si>
  <si>
    <t xml:space="preserve">Q2 2026 Form 10-Q, Item 2 MD&amp;A — accession 0000018230-26-000046; corroborated by Q2 2026 earnings call</t>
  </si>
  <si>
    <t xml:space="preserve">SOURCED (CI)</t>
  </si>
  <si>
    <t xml:space="preserve">Confirmed in the filed 10-Q. Verified by EDGAR full-text search exact-phrase match against the filed document (efts.sec.gov). The phrase is confirmed present in the filing; the surrounding sentence was NOT read, because the 4.6MB primary document truncates before Item 2.</t>
  </si>
  <si>
    <t xml:space="preserve">SCOPE BREAK: Q4 2024 - Q4 2025 dollars are COMPANY-WIDE. Q1 2026 carries both (company-wide $2.0B and CI $1.5B). Q2 2026 carries CI ONLY ($400M) — no company-wide dollar was located for that quarter.</t>
  </si>
  <si>
    <t xml:space="preserve">CONSEQUENCE: no continuous eight-quarter dealer-inventory dollar series exists at either scope. Q1 2026 is the only quarter where both scopes are known, and there the CI build is 75% of the company-wide build.</t>
  </si>
  <si>
    <t xml:space="preserve">RESOLVED: the Q1 2026 $2.0B and $1.5B and the Q2 2026 $400M are all confirmed in the filed 10-Qs by exact-phrase match. REMAINING: no company-wide figure for Q2 2026; no CI split for Q4 2024 - Q4 2025.</t>
  </si>
  <si>
    <t xml:space="preserve">Rolling 3-Month Retail Sales Statistics — SEPARATE BASIS, do not merge with reported sales</t>
  </si>
  <si>
    <t xml:space="preserve">2025 exhibits: "Reported in dollars and based on unit sales as reported primarily by dealers."</t>
  </si>
  <si>
    <t xml:space="preserve">2026 exhibits: "Reported in PRICE NEUTRAL dollars and based on unit sales as reported by dealers."</t>
  </si>
  <si>
    <t xml:space="preserve">The WORDING changed; the CI values did not. The only CI period appearing in BOTH filing vintages is Q2 2025, and it reads UP 2% in each. The same cross-vintage test DOES detect a change in the Power &amp; Energy Total (9% to 10%), so the test is sensitive enough to catch a recast — CI simply did not move.</t>
  </si>
  <si>
    <t xml:space="preserve">Consequence: CI retail is treated as price-neutral dollars across all eight quarters. Continuity is PROVEN at Q2 2025 and INFERRED elsewhere. Do NOT describe the CI series as recast or rebased.</t>
  </si>
  <si>
    <t xml:space="preserve">Construction Industries</t>
  </si>
  <si>
    <t xml:space="preserve">North America</t>
  </si>
  <si>
    <t xml:space="preserve">Latin America</t>
  </si>
  <si>
    <t xml:space="preserve">EAME</t>
  </si>
  <si>
    <t xml:space="preserve">Asia/Pacific</t>
  </si>
  <si>
    <t xml:space="preserve">World</t>
  </si>
  <si>
    <t xml:space="preserve">Energy &amp; Transp. / Power &amp; Energy</t>
  </si>
  <si>
    <t xml:space="preserve">Power Generation</t>
  </si>
  <si>
    <t xml:space="preserve">Oil &amp; Gas</t>
  </si>
  <si>
    <t xml:space="preserve">Industrial</t>
  </si>
  <si>
    <t xml:space="preserve">Transportation</t>
  </si>
  <si>
    <t xml:space="preserve">Total</t>
  </si>
  <si>
    <t xml:space="preserve">"Transportation" disappears from the sector breakdown after Q2 2025, consistent with the segment reorganisation. Shaded cells are not disclosed, not zero.</t>
  </si>
  <si>
    <t xml:space="preserve">Q2 2025 Total reads UP 9% in the 2025 exhibit and UP 10% as the comparative in the 2026 exhibit — the P&amp;E sector mix changed beneath it. This is the control that proves the cross-vintage test works: it moves for P&amp;E and does not move for Construction Industries.</t>
  </si>
  <si>
    <t xml:space="preserve">Operating Cash Flow and Capital Expenditure — disclosed year-to-date, not per quarter</t>
  </si>
  <si>
    <t xml:space="preserve">Caterpillar reports these cumulatively. Quarterly figures would have to be derived by subtraction, which this dataset does not do for you.</t>
  </si>
  <si>
    <t xml:space="preserve">Period</t>
  </si>
  <si>
    <t xml:space="preserve">Operating cash flow $mm</t>
  </si>
  <si>
    <t xml:space="preserve">Capex excl. leased $mm</t>
  </si>
  <si>
    <t xml:space="preserve">Equipment leased $mm</t>
  </si>
  <si>
    <t xml:space="preserve">Nine months ended 30 Sep 2024</t>
  </si>
  <si>
    <t xml:space="preserve">Q3 2024 (three months)</t>
  </si>
  <si>
    <t xml:space="preserve">Three months ended 31 Mar 2025</t>
  </si>
  <si>
    <t xml:space="preserve">Six months ended 30 Jun 2025</t>
  </si>
  <si>
    <t xml:space="preserve">Nine months ended 30 Sep 2025</t>
  </si>
  <si>
    <t xml:space="preserve">Full year 2025</t>
  </si>
  <si>
    <t xml:space="preserve">Three months ended 31 Mar 2026</t>
  </si>
  <si>
    <t xml:space="preserve">1Q26 earnings release</t>
  </si>
  <si>
    <t xml:space="preserve">Six months ended 30 Jun 2026</t>
  </si>
  <si>
    <t xml:space="preserve">2Q26 earnings release</t>
  </si>
  <si>
    <t xml:space="preserve">Six months ended 30 Jun 2024 (derived)</t>
  </si>
  <si>
    <t xml:space="preserve">Derived: 9M 2024 OCF less Q3 2024 standalone OCF</t>
  </si>
  <si>
    <t xml:space="preserve">DERIVED</t>
  </si>
  <si>
    <t xml:space="preserve">Shaded = not disclosed in the document reviewed. Q4 2024, Q2 2024 and Q4 2025 standalone quarters have no published figure.</t>
  </si>
  <si>
    <t xml:space="preserve">DERIVED standalone quarters</t>
  </si>
  <si>
    <t xml:space="preserve">Computed by subtracting consecutive year-to-date figures above. Only where both endpoints share the same stated basis.</t>
  </si>
  <si>
    <t xml:space="preserve">Basis check</t>
  </si>
  <si>
    <t xml:space="preserve">(Q3 2024 is NOT derived here — its standalone OCF of $3,600M is SOURCED directly, row 6. The 9M-less-Q3 subtraction yields H1 2024, which now sits in row 13 where it cannot be misread as a quarter.)</t>
  </si>
  <si>
    <t xml:space="preserve">OCF endpoints both OCF — clean. CAPEX: Q1 stated "excl. leased"; H1 stated "combined" — BASIS MISMATCH, not derived.</t>
  </si>
  <si>
    <t xml:space="preserve">DERIVED (OCF only)</t>
  </si>
  <si>
    <t xml:space="preserve">OCF clean. Capex: H1 capex basis ambiguous, so Q3 not derived.</t>
  </si>
  <si>
    <t xml:space="preserve">OCF clean. Capex: FY basis not explicitly stated; treat the derived capex as provisional.</t>
  </si>
  <si>
    <t xml:space="preserve">Both endpoints stated "excluding equipment leased to others" — clean on both lines.</t>
  </si>
  <si>
    <t xml:space="preserve">Q3 2024 standalone OCF of $3,600M is SOURCED directly (row 6), so it is not derived. Q4 2024 and Q2 2024 standalone OCF cannot be derived — no compatible YTD endpoints.</t>
  </si>
  <si>
    <t xml:space="preserve">Free cash flow NOT derived: Caterpillar's FCF definition and the treatment of equipment leased to others are not consistently stated across these releases.</t>
  </si>
  <si>
    <t xml:space="preserve">Comparability Log — every definitional break found while building this dataset</t>
  </si>
  <si>
    <t xml:space="preserve">#</t>
  </si>
  <si>
    <t xml:space="preserve">Issue</t>
  </si>
  <si>
    <t xml:space="preserve">Quarter first seen</t>
  </si>
  <si>
    <t xml:space="preserve">Evidence</t>
  </si>
  <si>
    <t xml:space="preserve">Effect on the dataset</t>
  </si>
  <si>
    <t xml:space="preserve">Treatment here</t>
  </si>
  <si>
    <t xml:space="preserve">Segment renamed</t>
  </si>
  <si>
    <t xml:space="preserve">Reported as "Energy &amp; Transportation" through Q3 2025; "Power &amp; Energy" from Q4 2025.</t>
  </si>
  <si>
    <t xml:space="preserve">Series label changes mid-dataset.</t>
  </si>
  <si>
    <t xml:space="preserve">Both names carried on the Power and Energy tab.</t>
  </si>
  <si>
    <t xml:space="preserve">Segment RESTATED</t>
  </si>
  <si>
    <t xml:space="preserve">Q1 2025 RI reported as 2,884 in the 1Q25 release but 3,661 as the comparative in the 1Q26 release. Q2 2025 RI: 3,087 vs 3,886. P&amp;E moves down by almost the same amount.</t>
  </si>
  <si>
    <t xml:space="preserve">Roughly $800M/quarter shifted from E&amp;T/P&amp;E into RI. RI and P&amp;E series are NOT continuous.</t>
  </si>
  <si>
    <t xml:space="preserve">Two vintages kept separate; post-restatement columns shaded.</t>
  </si>
  <si>
    <t xml:space="preserve">CI unaffected</t>
  </si>
  <si>
    <t xml:space="preserve">—</t>
  </si>
  <si>
    <t xml:space="preserve">CI Q1 2025 is 5,184 in both the 1Q25 and 1Q26 releases; Q2 2025 is 6,190 in both.</t>
  </si>
  <si>
    <t xml:space="preserve">Construction Industries is safe to chart as one continuous series.</t>
  </si>
  <si>
    <t xml:space="preserve">No split needed. Noted in green on the CI tab.</t>
  </si>
  <si>
    <t xml:space="preserve">Resource Industries minor recast</t>
  </si>
  <si>
    <t xml:space="preserve">Q3 2024 RI reported as 3,028 in the 3Q24 release, 3,048 as the comparative in the 3Q25 release. Q4 2024: 2,962 vs 2,980.</t>
  </si>
  <si>
    <t xml:space="preserve">A second, smaller recast predating the big one.</t>
  </si>
  <si>
    <t xml:space="preserve">Both figures shown; difference is ~$20M.</t>
  </si>
  <si>
    <t xml:space="preserve">Retail statistics basis wording changed</t>
  </si>
  <si>
    <t xml:space="preserve">2025: "Reported in dollars and based on unit sales as reported primarily by dealers." 2026: "Reported in PRICE NEUTRAL dollars..."</t>
  </si>
  <si>
    <t xml:space="preserve">Reads like a basis change. It is NOT. The only CI period appearing in BOTH filing vintages is Q2 2025, and it reads UP 2% in each. The same cross-vintage test DOES detect a change in the Power &amp; Energy Total (9% to 10%), so the test is sensitive enough to catch a recast — CI simply did not move.</t>
  </si>
  <si>
    <t xml:space="preserve">CI retail treated as price-neutral dollars across all eight quarters; PROVEN at Q2 2025, INFERRED elsewhere. See item 14.</t>
  </si>
  <si>
    <t xml:space="preserve">Retail sector list changed</t>
  </si>
  <si>
    <t xml:space="preserve">"Transportation" appears as an E&amp;T retail sector through Q2 2025 and is absent thereafter.</t>
  </si>
  <si>
    <t xml:space="preserve">The sector Total is not comparable across the break — Q2 2025 reads 9% in the 2025 exhibit, 10% in the 2026 one.</t>
  </si>
  <si>
    <t xml:space="preserve">Transportation row ends Q2 2025; cells left blank, not zero.</t>
  </si>
  <si>
    <t xml:space="preserve">Dealer inventory dollars sporadic</t>
  </si>
  <si>
    <t xml:space="preserve">throughout</t>
  </si>
  <si>
    <t xml:space="preserve">Company-wide dollar figures appear in Q4 2024, Q1 2025, Q4 2025 and Q1 2026. CI dollar figures appear in Q1 2026 and Q2 2026 only (both in the 10-Qs, corroborated on the calls).</t>
  </si>
  <si>
    <t xml:space="preserve">No continuous dollar series is possible.</t>
  </si>
  <si>
    <t xml:space="preserve">Dealer Inventory tab shows exactly what exists; gaps left empty.</t>
  </si>
  <si>
    <t xml:space="preserve">Cash flow is year-to-date</t>
  </si>
  <si>
    <t xml:space="preserve">Operating cash flow and capex are reported cumulatively, not per quarter.</t>
  </si>
  <si>
    <t xml:space="preserve">Quarterly figures require subtraction and are not provided here.</t>
  </si>
  <si>
    <t xml:space="preserve">Cash Flow tab reports the periods as published.</t>
  </si>
  <si>
    <t xml:space="preserve">Dealer inventory scope changes mid-series</t>
  </si>
  <si>
    <t xml:space="preserve">Q4 2024 / Q1 2025 / Q4 2025 disclose a COMPANY-WIDE dollar change. Q1 2026 discloses both scopes. Q2 2026 discloses a CONSTRUCTION INDUSTRIES figure only.</t>
  </si>
  <si>
    <t xml:space="preserve">The two are different scopes; charting them as one line would be wrong.</t>
  </si>
  <si>
    <t xml:space="preserve">Separate columns on the Dealer Inventory tab.</t>
  </si>
  <si>
    <t xml:space="preserve">CFO changed between Q1 and Q2 2026</t>
  </si>
  <si>
    <t xml:space="preserve">Q1 2026 call remarks are attributed to Andrew R. Bonfield; Q2 2026 call remarks to Kyle Epley.</t>
  </si>
  <si>
    <t xml:space="preserve">No effect on figures; affects quote attribution only.</t>
  </si>
  <si>
    <t xml:space="preserve">Speaker named on each quote.</t>
  </si>
  <si>
    <t xml:space="preserve">Capex basis inconsistent in YTD disclosures</t>
  </si>
  <si>
    <t xml:space="preserve">Q1 2025 capex stated "excluding equipment leased"; the H1 2025 figure is stated as combined.</t>
  </si>
  <si>
    <t xml:space="preserve">Standalone Q2 2025 capex cannot be derived without mixing bases.</t>
  </si>
  <si>
    <t xml:space="preserve">Not derived. Left blank with the reason recorded.</t>
  </si>
  <si>
    <t xml:space="preserve">12</t>
  </si>
  <si>
    <t xml:space="preserve">Gap metric basis differences — REVISED 2 Oct (earlier version was wrong)</t>
  </si>
  <si>
    <t xml:space="preserve">analytical</t>
  </si>
  <si>
    <t xml:space="preserve">Ex 99.2 (2Q 2026): CI retail is "Reported in price neutral dollars and based on unit sales as reported by dealers." The earlier version of this entry said retail was unit-based and that product mix contaminates the gap.</t>
  </si>
  <si>
    <t xml:space="preserve">CORRECTED: both sides of the gap are price-neutral dollar measures of unit sales, so product MIX is represented on both sides and should largely CANCEL rather than systematically contaminate the gap. The remaining basis differences are: current-price vs price-neutral treatment of the disclosed inventory dollars; parts and services included in reported sales with no counterpart in the retail machine series; currency treatment, which is unresolved; and other unresolved scope differences.</t>
  </si>
  <si>
    <t xml:space="preserve">The gap is described as an ESTIMATE OF THE DIRECTION AND RELATIVE SIZE of dealer stocking, never as an exact dollar measurement. Disclosed dealer-inventory dollars are shown alongside it wherever they exist.</t>
  </si>
  <si>
    <t xml:space="preserve">13</t>
  </si>
  <si>
    <t xml:space="preserve">Dealer-inventory dollars verified by phrase match, not by reading the sentence</t>
  </si>
  <si>
    <t xml:space="preserve">method</t>
  </si>
  <si>
    <t xml:space="preserve">The 10-Q primary documents are ~4.6MB and truncate before Item 2 on every retrieval attempt. The Q1/Q2 2026 dealer-inventory dollars were confirmed instead by EDGAR full-text search exact-phrase match (efts.sec.gov) against the filed accession.</t>
  </si>
  <si>
    <t xml:space="preserve">Presence of the phrase in the filing is confirmed. The surrounding sentence — comparatives, period qualifiers, any offsetting commentary — has NOT been read.</t>
  </si>
  <si>
    <t xml:space="preserve">Figures carry the verbatim matched phrase and the accession number. Scope/period is marked INFERRED wherever the qualifier was not recoverable.</t>
  </si>
  <si>
    <t xml:space="preserve">14</t>
  </si>
  <si>
    <t xml:space="preserve">Retail basis WORDING changed for 2026; values did not</t>
  </si>
  <si>
    <t xml:space="preserve">disclosure</t>
  </si>
  <si>
    <t xml:space="preserve">2Q25 Ex 99.2: CI "Reported in dollars and based on unit sales as reported primarily by dealers." 2Q26 Ex 99.2: CI "Reported in price neutral dollars and based on unit sales as reported by dealers."</t>
  </si>
  <si>
    <t xml:space="preserve">Reads like a basis change. It is not. The only CI period appearing in BOTH filing vintages is Q2 2025, and it reads UP 2% in each. The same cross-vintage test DOES detect a change in the Power &amp; Energy Total (9% to 10%), so the test is sensitive enough to catch a recast — CI simply did not move.</t>
  </si>
  <si>
    <t xml:space="preserve">Treated as a clarification, not a recast. The separate 2026 realignment note concerns Rail / Resource Industries and Industrial, NOT Construction Industries.</t>
  </si>
  <si>
    <t xml:space="preserve">15</t>
  </si>
  <si>
    <t xml:space="preserve">Q4 2025 CI margin depressed by manufacturing costs largely attributed to tariffs</t>
  </si>
  <si>
    <t xml:space="preserve">4Q25 release, CI: "unfavorable manufacturing costs of $420 million ... largely reflected the impact of higher tariffs." 1Q26 release, CI: $362 million, same attribution. 2Q26 call, CFO Kyle Epley: CI margin "impacted by ... 340 basis points within Construction Industries." Exact release wording INSUFFICIENT EVIDENCE: the CI tab (A28) quotes "...higher tariff costs."; re-check against the releases.</t>
  </si>
  <si>
    <t xml:space="preserve">Our reading (INTERPRETIVE): reported CI margin of 14.9% in Q4 2025 was mainly a tariff cost shock rather than demand weakness or operating deterioration; the disclosed manufacturing costs only 'largely' reflected tariffs. Ex-tariff it sits near 20.9%, inside the 19.6-20.4% band of the surrounding quarters. Using the reported series as a baseline overstates the 2026 recovery.</t>
  </si>
  <si>
    <t xml:space="preserve">Ex-tariff margin shown on the Analysis tab for all three quarters (Q2 2026 on a different method). NOT a one-time item: tariffs recur while in force. FY2026 tariff guidance (about $2.2bn, roughly half of Q3 in CI) was recorded without a verbatim quote: INSUFFICIENT EVIDENCE, not used in the analysis.</t>
  </si>
  <si>
    <t xml:space="preserve">16</t>
  </si>
  <si>
    <t xml:space="preserve">Q2 2026 holds a one-time IEEPA tariff recovery</t>
  </si>
  <si>
    <t xml:space="preserve">Q2 2026 release: "Operating profit in the second quarter of 2026 included $392 million of expected International Emergency Economic Power Act (IEEPA) tariff recoveries." Call, CFO Kyle Epley: "with the majority of this amount reflected in corporate items."</t>
  </si>
  <si>
    <t xml:space="preserve">A one-time credit of this size would inflate Q2 2026 margins if it sat in the segments. The CFO said the majority is in corporate items; the CI share was not disclosed, so CI margin is unlikely to be materially affected (INFERENCE).</t>
  </si>
  <si>
    <t xml:space="preserve">Consolidated operating margin for Q2 2026 must be described as including a one-time recovery. The CI share of the $392M was not disclosed; with the majority in corporate items, CI segment margin is unlikely to be materially affected (INFERENCE; no adjustment made). CI tariff COST of 340 bps is separate and still a drag.</t>
  </si>
  <si>
    <t xml:space="preserve">Source Index — every document used</t>
  </si>
  <si>
    <t xml:space="preserve">Document</t>
  </si>
  <si>
    <t xml:space="preserve">URL</t>
  </si>
  <si>
    <t xml:space="preserve">Used for</t>
  </si>
  <si>
    <t xml:space="preserve">3Q 2024 Earnings Release</t>
  </si>
  <si>
    <t xml:space="preserve">https://www.caterpillar.com/content/dam/caterpillarDotCom/releases/3q24/3q24-caterpillar-inc-financial-results.pdf</t>
  </si>
  <si>
    <t xml:space="preserve">Consolidated, segments, cash flow, dealer narrative</t>
  </si>
  <si>
    <t xml:space="preserve">4Q 2024 Earnings Release</t>
  </si>
  <si>
    <t xml:space="preserve">https://www.caterpillar.com/content/dam/caterpillarDotCom/releases/4q24/4q24-caterpillar-inc-financial-results.pdf</t>
  </si>
  <si>
    <t xml:space="preserve">Consolidated, segments, dealer inventory $</t>
  </si>
  <si>
    <t xml:space="preserve">1Q 2025 Earnings Release</t>
  </si>
  <si>
    <t xml:space="preserve">https://www.caterpillar.com/content/dam/caterpillarDotCom/releases/1q25/1q25-caterpillar-inc-financial-results.pdf</t>
  </si>
  <si>
    <t xml:space="preserve">Consolidated, segments, cash flow, dealer inventory $</t>
  </si>
  <si>
    <t xml:space="preserve">2Q 2025 Earnings Release</t>
  </si>
  <si>
    <t xml:space="preserve">https://www.caterpillar.com/content/dam/caterpillarDotCom/releases/2q25/2q25-caterpillar-inc-financial-results.pdf</t>
  </si>
  <si>
    <t xml:space="preserve">3Q 2025 Earnings Release</t>
  </si>
  <si>
    <t xml:space="preserve">https://www.caterpillar.com/content/dam/caterpillarDotCom/releases/3q25/3q25-caterpillar-inc-financial-results.pdf</t>
  </si>
  <si>
    <t xml:space="preserve">4Q 2025 Earnings Release</t>
  </si>
  <si>
    <t xml:space="preserve">https://www.caterpillar.com/content/dam/caterpillarDotCom/releases/4q25/4q25-caterpillar-inc-financial-results.pdf</t>
  </si>
  <si>
    <t xml:space="preserve">1Q 2026 Earnings Release</t>
  </si>
  <si>
    <t xml:space="preserve">https://www.caterpillar.com/content/dam/caterpillarDotCom/releases/1q26/1q26-caterpillar-inc-financial-results.pdf</t>
  </si>
  <si>
    <t xml:space="preserve">Consolidated, segments, cash flow</t>
  </si>
  <si>
    <t xml:space="preserve">2Q 2026 Earnings Release</t>
  </si>
  <si>
    <t xml:space="preserve">https://www.caterpillar.com/content/dam/caterpillarDotCom/releases/2q26/2q26-caterpillar-inc-financial-results.pdf</t>
  </si>
  <si>
    <t xml:space="preserve">Ex 99.2 Retail Sales Statistics</t>
  </si>
  <si>
    <t xml:space="preserve">https://www.sec.gov/Archives/edgar/data/18230/000001823025000037/ex992toformcat2q2025retail.htm</t>
  </si>
  <si>
    <t xml:space="preserve">Retail statistics Q3 2024 – Q2 2025, 2025 basis note</t>
  </si>
  <si>
    <t xml:space="preserve">https://www.sec.gov/Archives/edgar/data/18230/000001823026000040/ex992toformcat2q2026retail.htm</t>
  </si>
  <si>
    <t xml:space="preserve">Retail statistics Q2 2025 – Q2 2026, 2026 basis note</t>
  </si>
  <si>
    <t xml:space="preserve">Ex 99.1 Earnings Release (SEC)</t>
  </si>
  <si>
    <t xml:space="preserve">https://www.sec.gov/Archives/edgar/data/18230/000001823026000040/ex991toformcat2q2026earnin.htm</t>
  </si>
  <si>
    <t xml:space="preserve">Segment price realization</t>
  </si>
  <si>
    <t xml:space="preserve">Q2 2026 Form 10-Q (accession 0000018230-26-000046)</t>
  </si>
  <si>
    <t xml:space="preserve">https://www.sec.gov/Archives/edgar/data/18230/000001823026000046/cat-20260630.htm</t>
  </si>
  <si>
    <t xml:space="preserve">CI dealer inventory +$400M — VERIFIED by EDGAR full-text exact-phrase match</t>
  </si>
  <si>
    <t xml:space="preserve">Earnings Call Transcript</t>
  </si>
  <si>
    <t xml:space="preserve">https://www.fool.com/earnings/call-transcripts/2026/08/11/caterpillar-cat-q2-2026-earnings-call-transcript/</t>
  </si>
  <si>
    <t xml:space="preserve">CI dealer inventory +$400M. Q4 drawdown commentary: no verbatim quote captured, INSUFFICIENT EVIDENCE; not used as a finding.</t>
  </si>
  <si>
    <t xml:space="preserve">https://www.fool.com/earnings/call-transcripts/2026/04/30/caterpillar-cat-q1-2026-earnings-transcript/</t>
  </si>
  <si>
    <t xml:space="preserve">CI dealer inventory +$1.5B (CFO Bonfield)</t>
  </si>
  <si>
    <t xml:space="preserve">Q1 2026 Form 10-Q (accession 0000018230-26-000021)</t>
  </si>
  <si>
    <t xml:space="preserve">https://www.sec.gov/Archives/edgar/data/18230/000001823026000021/cat-20260331.htm</t>
  </si>
  <si>
    <t xml:space="preserve">Dealer inventory +$2.0B company-wide and +$1.5B CI — VERIFIED by EDGAR full-text exact-phrase match</t>
  </si>
  <si>
    <t xml:space="preserve">Method</t>
  </si>
  <si>
    <t xml:space="preserve">EDGAR full-text search</t>
  </si>
  <si>
    <t xml:space="preserve">https://efts.sec.gov/LATEST/search-index</t>
  </si>
  <si>
    <t xml:space="preserve">Exact-phrase verification of 10-Q MD&amp;A text that the 4.6MB primary document would not serve</t>
  </si>
  <si>
    <t xml:space="preserve">PRE-2026 retail basis wording; recast test</t>
  </si>
  <si>
    <t xml:space="preserve">CI profit bridge: volume +322, price -60, mfg costs -420 (largely attributed to tariffs)</t>
  </si>
  <si>
    <t xml:space="preserve">CI profit bridge: volume +505, price +356, mfg costs -362 (largely attributed to tariffs)</t>
  </si>
  <si>
    <t xml:space="preserve">CI profit: volume only; no mfg-cost driver disclosed</t>
  </si>
  <si>
    <t xml:space="preserve">Q2 2026 Earnings Call Transcript</t>
  </si>
  <si>
    <t xml:space="preserve">CI tariff impact 340 bps; IEEPA $392M, majority in corporate items. FY26 tariff cost ~$2.2B: no verbatim quote captured, INSUFFICIENT EVIDENCE.</t>
  </si>
</sst>
</file>

<file path=xl/styles.xml><?xml version="1.0" encoding="utf-8"?>
<styleSheet xmlns="http://schemas.openxmlformats.org/spreadsheetml/2006/main">
  <numFmts count="7">
    <numFmt numFmtId="164" formatCode="General"/>
    <numFmt numFmtId="165" formatCode="0.0%;\(0.0%\);\-"/>
    <numFmt numFmtId="166" formatCode="#,##0;\(#,##0\);\-"/>
    <numFmt numFmtId="167" formatCode="#,##0&quot;bps&quot;;\(#,##0&quot;)bps&quot;;\-"/>
    <numFmt numFmtId="168" formatCode="#,##0;\(#,##0\)"/>
    <numFmt numFmtId="169" formatCode="0.0%"/>
    <numFmt numFmtId="170" formatCode="#,##0"/>
  </numFmts>
  <fonts count="25">
    <font>
      <sz val="11"/>
      <color theme="1"/>
      <name val="Calibri"/>
      <family val="2"/>
      <charset val="1"/>
    </font>
    <font>
      <sz val="10"/>
      <name val="Arial"/>
      <family val="0"/>
    </font>
    <font>
      <sz val="10"/>
      <name val="Arial"/>
      <family val="0"/>
    </font>
    <font>
      <sz val="10"/>
      <name val="Arial"/>
      <family val="0"/>
    </font>
    <font>
      <b val="true"/>
      <sz val="15"/>
      <color rgb="FF1F4E79"/>
      <name val="Arial"/>
      <family val="0"/>
      <charset val="1"/>
    </font>
    <font>
      <i val="true"/>
      <sz val="10"/>
      <color rgb="FF777777"/>
      <name val="Arial"/>
      <family val="0"/>
      <charset val="1"/>
    </font>
    <font>
      <sz val="10"/>
      <name val="Arial"/>
      <family val="0"/>
      <charset val="1"/>
    </font>
    <font>
      <b val="true"/>
      <sz val="11"/>
      <color rgb="FF1F4E79"/>
      <name val="Arial"/>
      <family val="0"/>
      <charset val="1"/>
    </font>
    <font>
      <b val="true"/>
      <sz val="10"/>
      <color rgb="FF2E7D32"/>
      <name val="Arial"/>
      <family val="0"/>
      <charset val="1"/>
    </font>
    <font>
      <b val="true"/>
      <sz val="10"/>
      <color rgb="FFC55A11"/>
      <name val="Arial"/>
      <family val="0"/>
      <charset val="1"/>
    </font>
    <font>
      <sz val="10"/>
      <color rgb="FF666666"/>
      <name val="Arial"/>
      <family val="0"/>
      <charset val="1"/>
    </font>
    <font>
      <b val="true"/>
      <sz val="10"/>
      <color rgb="FFCC0000"/>
      <name val="Arial"/>
      <family val="0"/>
      <charset val="1"/>
    </font>
    <font>
      <b val="true"/>
      <sz val="10"/>
      <color rgb="FF1F4E79"/>
      <name val="Arial"/>
      <family val="0"/>
      <charset val="1"/>
    </font>
    <font>
      <b val="true"/>
      <sz val="12"/>
      <name val="Arial"/>
      <family val="0"/>
      <charset val="1"/>
    </font>
    <font>
      <i val="true"/>
      <sz val="9"/>
      <color rgb="FF666666"/>
      <name val="Arial"/>
      <family val="0"/>
      <charset val="1"/>
    </font>
    <font>
      <sz val="10"/>
      <color rgb="FF008000"/>
      <name val="Arial"/>
      <family val="0"/>
      <charset val="1"/>
    </font>
    <font>
      <b val="true"/>
      <sz val="9"/>
      <color rgb="FFFFFFFF"/>
      <name val="Arial"/>
      <family val="0"/>
      <charset val="1"/>
    </font>
    <font>
      <b val="true"/>
      <sz val="10"/>
      <name val="Arial"/>
      <family val="0"/>
      <charset val="1"/>
    </font>
    <font>
      <sz val="10"/>
      <color rgb="FF0000FF"/>
      <name val="Arial"/>
      <family val="0"/>
      <charset val="1"/>
    </font>
    <font>
      <sz val="10"/>
      <color rgb="FFCC6600"/>
      <name val="Arial"/>
      <family val="0"/>
      <charset val="1"/>
    </font>
    <font>
      <sz val="10"/>
      <color rgb="FFC55A11"/>
      <name val="Arial"/>
      <family val="0"/>
      <charset val="1"/>
    </font>
    <font>
      <i val="true"/>
      <sz val="9"/>
      <color rgb="FF008000"/>
      <name val="Arial"/>
      <family val="0"/>
      <charset val="1"/>
    </font>
    <font>
      <i val="true"/>
      <sz val="9"/>
      <color rgb="FFCC0000"/>
      <name val="Arial"/>
      <family val="0"/>
      <charset val="1"/>
    </font>
    <font>
      <b val="true"/>
      <sz val="10"/>
      <color rgb="FF008000"/>
      <name val="Arial"/>
      <family val="0"/>
      <charset val="1"/>
    </font>
    <font>
      <u val="single"/>
      <sz val="9"/>
      <color rgb="FF0563C1"/>
      <name val="Arial"/>
      <family val="0"/>
      <charset val="1"/>
    </font>
  </fonts>
  <fills count="5">
    <fill>
      <patternFill patternType="none"/>
    </fill>
    <fill>
      <patternFill patternType="gray125"/>
    </fill>
    <fill>
      <patternFill patternType="solid">
        <fgColor rgb="FF1F3A2E"/>
        <bgColor rgb="FF333300"/>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8" fontId="20" fillId="0" borderId="0" xfId="0" applyFont="true" applyBorder="false" applyAlignment="true" applyProtection="false">
      <alignment horizontal="general" vertical="bottom" textRotation="0" wrapText="false" indent="0" shrinkToFit="false"/>
      <protection locked="true" hidden="false"/>
    </xf>
    <xf numFmtId="169" fontId="20"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70" fontId="2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66" fontId="6" fillId="4" borderId="0" xfId="0" applyFont="true" applyBorder="false" applyAlignment="true" applyProtection="false">
      <alignment horizontal="general" vertical="bottom" textRotation="0" wrapText="false" indent="0" shrinkToFit="false"/>
      <protection locked="true" hidden="false"/>
    </xf>
    <xf numFmtId="165" fontId="18" fillId="4"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general" vertical="bottom" textRotation="0" wrapText="false" indent="0" shrinkToFit="false"/>
      <protection locked="true" hidden="false"/>
    </xf>
    <xf numFmtId="166" fontId="6"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5" fontId="18" fillId="3" borderId="0" xfId="0" applyFont="true" applyBorder="false" applyAlignment="tru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FBFBF"/>
      <rgbColor rgb="FF777777"/>
      <rgbColor rgb="FF9999FF"/>
      <rgbColor rgb="FF993366"/>
      <rgbColor rgb="FFFFF2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CC6600"/>
      <rgbColor rgb="FF666666"/>
      <rgbColor rgb="FF969696"/>
      <rgbColor rgb="FF003366"/>
      <rgbColor rgb="FF2E7D32"/>
      <rgbColor rgb="FF003300"/>
      <rgbColor rgb="FF333300"/>
      <rgbColor rgb="FFC55A11"/>
      <rgbColor rgb="FF993366"/>
      <rgbColor rgb="FF1F4E79"/>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hyperlink" Target="https://www.caterpillar.com/content/dam/caterpillarDotCom/releases/3q24/3q24-caterpillar-inc-financial-results.pdf" TargetMode="External"/><Relationship Id="rId2" Type="http://schemas.openxmlformats.org/officeDocument/2006/relationships/hyperlink" Target="https://www.caterpillar.com/content/dam/caterpillarDotCom/releases/4q24/4q24-caterpillar-inc-financial-results.pdf" TargetMode="External"/><Relationship Id="rId3" Type="http://schemas.openxmlformats.org/officeDocument/2006/relationships/hyperlink" Target="https://www.caterpillar.com/content/dam/caterpillarDotCom/releases/1q25/1q25-caterpillar-inc-financial-results.pdf" TargetMode="External"/><Relationship Id="rId4" Type="http://schemas.openxmlformats.org/officeDocument/2006/relationships/hyperlink" Target="https://www.caterpillar.com/content/dam/caterpillarDotCom/releases/2q25/2q25-caterpillar-inc-financial-results.pdf" TargetMode="External"/><Relationship Id="rId5" Type="http://schemas.openxmlformats.org/officeDocument/2006/relationships/hyperlink" Target="https://www.caterpillar.com/content/dam/caterpillarDotCom/releases/3q25/3q25-caterpillar-inc-financial-results.pdf" TargetMode="External"/><Relationship Id="rId6" Type="http://schemas.openxmlformats.org/officeDocument/2006/relationships/hyperlink" Target="https://www.caterpillar.com/content/dam/caterpillarDotCom/releases/4q25/4q25-caterpillar-inc-financial-results.pdf" TargetMode="External"/><Relationship Id="rId7" Type="http://schemas.openxmlformats.org/officeDocument/2006/relationships/hyperlink" Target="https://www.caterpillar.com/content/dam/caterpillarDotCom/releases/1q26/1q26-caterpillar-inc-financial-results.pdf" TargetMode="External"/><Relationship Id="rId8" Type="http://schemas.openxmlformats.org/officeDocument/2006/relationships/hyperlink" Target="https://www.caterpillar.com/content/dam/caterpillarDotCom/releases/2q26/2q26-caterpillar-inc-financial-results.pdf" TargetMode="External"/><Relationship Id="rId9" Type="http://schemas.openxmlformats.org/officeDocument/2006/relationships/hyperlink" Target="https://www.sec.gov/Archives/edgar/data/18230/000001823025000037/ex992toformcat2q2025retail.htm" TargetMode="External"/><Relationship Id="rId10" Type="http://schemas.openxmlformats.org/officeDocument/2006/relationships/hyperlink" Target="https://www.sec.gov/Archives/edgar/data/18230/000001823026000040/ex992toformcat2q2026retail.htm" TargetMode="External"/><Relationship Id="rId11" Type="http://schemas.openxmlformats.org/officeDocument/2006/relationships/hyperlink" Target="https://www.sec.gov/Archives/edgar/data/18230/000001823026000040/ex991toformcat2q2026earnin.htm" TargetMode="External"/><Relationship Id="rId12" Type="http://schemas.openxmlformats.org/officeDocument/2006/relationships/hyperlink" Target="https://www.sec.gov/Archives/edgar/data/18230/000001823026000046/cat-20260630.htm" TargetMode="External"/><Relationship Id="rId13" Type="http://schemas.openxmlformats.org/officeDocument/2006/relationships/hyperlink" Target="https://www.fool.com/earnings/call-transcripts/2026/08/11/caterpillar-cat-q2-2026-earnings-call-transcript/" TargetMode="External"/><Relationship Id="rId14" Type="http://schemas.openxmlformats.org/officeDocument/2006/relationships/hyperlink" Target="https://www.fool.com/earnings/call-transcripts/2026/04/30/caterpillar-cat-q1-2026-earnings-transcript/" TargetMode="External"/><Relationship Id="rId15" Type="http://schemas.openxmlformats.org/officeDocument/2006/relationships/hyperlink" Target="https://www.sec.gov/Archives/edgar/data/18230/000001823026000021/cat-20260331.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A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4"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row>
    <row r="8" customFormat="false" ht="15" hidden="false" customHeight="true" outlineLevel="0" collapsed="false">
      <c r="A8" s="5" t="s">
        <v>5</v>
      </c>
    </row>
    <row r="9" customFormat="false" ht="15" hidden="false" customHeight="true" outlineLevel="0" collapsed="false">
      <c r="A9" s="4"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3" customFormat="false" ht="15" hidden="false" customHeight="true" outlineLevel="0" collapsed="false">
      <c r="A13" s="4"/>
    </row>
    <row r="14" customFormat="false" ht="15" hidden="false" customHeight="true" outlineLevel="0" collapsed="false">
      <c r="A14" s="3" t="s">
        <v>10</v>
      </c>
    </row>
    <row r="15" customFormat="false" ht="15" hidden="false" customHeight="true" outlineLevel="0" collapsed="false">
      <c r="A15" s="4"/>
    </row>
    <row r="16" customFormat="false" ht="15" hidden="false" customHeight="true" outlineLevel="0" collapsed="false">
      <c r="A16" s="5" t="s">
        <v>11</v>
      </c>
    </row>
    <row r="17" customFormat="false" ht="15" hidden="false" customHeight="true" outlineLevel="0" collapsed="false">
      <c r="A17" s="6" t="s">
        <v>12</v>
      </c>
    </row>
    <row r="18" customFormat="false" ht="15" hidden="false" customHeight="true" outlineLevel="0" collapsed="false">
      <c r="A18" s="7" t="s">
        <v>13</v>
      </c>
    </row>
    <row r="19" customFormat="false" ht="15" hidden="false" customHeight="true" outlineLevel="0" collapsed="false">
      <c r="A19" s="8" t="s">
        <v>14</v>
      </c>
    </row>
    <row r="20" customFormat="false" ht="15" hidden="false" customHeight="true" outlineLevel="0" collapsed="false">
      <c r="A20" s="9" t="s">
        <v>15</v>
      </c>
    </row>
    <row r="21" customFormat="false" ht="15" hidden="false" customHeight="true" outlineLevel="0" collapsed="false">
      <c r="A21" s="10" t="s">
        <v>16</v>
      </c>
    </row>
    <row r="22" customFormat="false" ht="15" hidden="false" customHeight="true" outlineLevel="0" collapsed="false">
      <c r="A22" s="3" t="s">
        <v>17</v>
      </c>
    </row>
    <row r="23" customFormat="false" ht="15" hidden="false" customHeight="true" outlineLevel="0" collapsed="false">
      <c r="A23" s="4"/>
    </row>
    <row r="24" customFormat="false" ht="15" hidden="false" customHeight="true" outlineLevel="0" collapsed="false">
      <c r="A24" s="5" t="s">
        <v>18</v>
      </c>
    </row>
    <row r="25" customFormat="false" ht="15" hidden="false" customHeight="true" outlineLevel="0" collapsed="false">
      <c r="A25" s="4" t="s">
        <v>19</v>
      </c>
    </row>
    <row r="26" customFormat="false" ht="15" hidden="false" customHeight="true" outlineLevel="0" collapsed="false">
      <c r="A26" s="4" t="s">
        <v>20</v>
      </c>
    </row>
    <row r="27" customFormat="false" ht="15" hidden="false" customHeight="true" outlineLevel="0" collapsed="false">
      <c r="A27" s="4"/>
    </row>
    <row r="28" customFormat="false" ht="15" hidden="false" customHeight="true" outlineLevel="0" collapsed="false">
      <c r="A28" s="5" t="s">
        <v>21</v>
      </c>
    </row>
    <row r="29" customFormat="false" ht="15" hidden="false" customHeight="true" outlineLevel="0" collapsed="false">
      <c r="A29" s="9" t="s">
        <v>22</v>
      </c>
    </row>
    <row r="30" customFormat="false" ht="15" hidden="false" customHeight="true" outlineLevel="0" collapsed="false">
      <c r="A30" s="4" t="s">
        <v>23</v>
      </c>
    </row>
    <row r="31" customFormat="false" ht="15" hidden="false" customHeight="true" outlineLevel="0" collapsed="false">
      <c r="A31" s="4" t="s">
        <v>24</v>
      </c>
    </row>
    <row r="32" customFormat="false" ht="15" hidden="false" customHeight="true" outlineLevel="0" collapsed="false">
      <c r="A32" s="9" t="s">
        <v>25</v>
      </c>
    </row>
    <row r="33" customFormat="false" ht="15" hidden="false" customHeight="true" outlineLevel="0" collapsed="false">
      <c r="A33" s="4" t="s">
        <v>26</v>
      </c>
    </row>
    <row r="34" customFormat="false" ht="15" hidden="false" customHeight="true" outlineLevel="0" collapsed="false">
      <c r="A34" s="9" t="s">
        <v>27</v>
      </c>
    </row>
    <row r="35" customFormat="false" ht="15" hidden="false" customHeight="true" outlineLevel="0" collapsed="false">
      <c r="A35" s="4" t="s">
        <v>28</v>
      </c>
    </row>
    <row r="36" customFormat="false" ht="15" hidden="false" customHeight="true" outlineLevel="0" collapsed="false">
      <c r="A36" s="4" t="s">
        <v>29</v>
      </c>
    </row>
    <row r="37" customFormat="false" ht="15" hidden="false" customHeight="true" outlineLevel="0" collapsed="false">
      <c r="A37" s="4"/>
    </row>
    <row r="38" customFormat="false" ht="15" hidden="false" customHeight="true" outlineLevel="0" collapsed="false">
      <c r="A38" s="9" t="s">
        <v>30</v>
      </c>
    </row>
    <row r="39" customFormat="false" ht="15" hidden="false" customHeight="true" outlineLevel="0" collapsed="false">
      <c r="A39" s="9"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J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9" min="2" style="1" width="13"/>
    <col collapsed="false" customWidth="true" hidden="false" outlineLevel="0" max="10" min="10" style="1" width="16"/>
  </cols>
  <sheetData>
    <row r="1" customFormat="false" ht="15" hidden="false" customHeight="true" outlineLevel="0" collapsed="false">
      <c r="A1" s="11" t="s">
        <v>32</v>
      </c>
    </row>
    <row r="2" customFormat="false" ht="15" hidden="false" customHeight="true" outlineLevel="0" collapsed="false">
      <c r="A2" s="12" t="s">
        <v>33</v>
      </c>
    </row>
    <row r="3" customFormat="false" ht="15" hidden="false" customHeight="true" outlineLevel="0" collapsed="false">
      <c r="A3" s="13" t="s">
        <v>34</v>
      </c>
    </row>
    <row r="5" customFormat="false" ht="25.5" hidden="false" customHeight="true" outlineLevel="0" collapsed="false">
      <c r="A5" s="14" t="s">
        <v>35</v>
      </c>
      <c r="B5" s="14" t="s">
        <v>36</v>
      </c>
      <c r="C5" s="14" t="s">
        <v>37</v>
      </c>
      <c r="D5" s="14" t="s">
        <v>38</v>
      </c>
      <c r="E5" s="14" t="s">
        <v>39</v>
      </c>
      <c r="F5" s="14" t="s">
        <v>40</v>
      </c>
      <c r="G5" s="14" t="s">
        <v>41</v>
      </c>
      <c r="H5" s="14" t="s">
        <v>42</v>
      </c>
      <c r="I5" s="14" t="s">
        <v>43</v>
      </c>
      <c r="J5" s="14" t="s">
        <v>44</v>
      </c>
    </row>
    <row r="6" customFormat="false" ht="15" hidden="false" customHeight="true" outlineLevel="0" collapsed="false">
      <c r="A6" s="15" t="s">
        <v>45</v>
      </c>
      <c r="B6" s="16" t="n">
        <f aca="false">'Construction Industries'!B5/'Construction Industries'!B6-1</f>
        <v>-0.0934419202743249</v>
      </c>
      <c r="C6" s="16" t="n">
        <f aca="false">'Construction Industries'!C5/'Construction Industries'!C6-1</f>
        <v>-0.0791532443626323</v>
      </c>
      <c r="D6" s="16" t="n">
        <f aca="false">'Construction Industries'!D5/'Construction Industries'!D6-1</f>
        <v>-0.193026151930262</v>
      </c>
      <c r="E6" s="16" t="n">
        <f aca="false">'Construction Industries'!E5/'Construction Industries'!E6-1</f>
        <v>-0.0737692653000149</v>
      </c>
      <c r="F6" s="16" t="n">
        <f aca="false">'Construction Industries'!F5/'Construction Industries'!F6-1</f>
        <v>0.0654058313632782</v>
      </c>
      <c r="G6" s="16" t="n">
        <f aca="false">'Construction Industries'!G5/'Construction Industries'!G6-1</f>
        <v>0.15375645510578</v>
      </c>
      <c r="H6" s="16" t="n">
        <f aca="false">'Construction Industries'!H5/'Construction Industries'!H6-1</f>
        <v>0.381365740740741</v>
      </c>
      <c r="I6" s="16" t="n">
        <f aca="false">'Construction Industries'!I5/'Construction Industries'!I6-1</f>
        <v>0.348303715670436</v>
      </c>
      <c r="J6" s="17" t="s">
        <v>46</v>
      </c>
    </row>
    <row r="7" customFormat="false" ht="15" hidden="false" customHeight="true" outlineLevel="0" collapsed="false">
      <c r="A7" s="15" t="s">
        <v>47</v>
      </c>
      <c r="B7" s="16" t="n">
        <f aca="false">'Retail Statistics'!B11</f>
        <v>-0.07</v>
      </c>
      <c r="C7" s="16" t="n">
        <f aca="false">'Retail Statistics'!C11</f>
        <v>-0.03</v>
      </c>
      <c r="D7" s="16" t="n">
        <f aca="false">'Retail Statistics'!D11</f>
        <v>0.03</v>
      </c>
      <c r="E7" s="16" t="n">
        <f aca="false">'Retail Statistics'!E11</f>
        <v>0.02</v>
      </c>
      <c r="F7" s="16" t="n">
        <f aca="false">'Retail Statistics'!F11</f>
        <v>0.07</v>
      </c>
      <c r="G7" s="16" t="n">
        <f aca="false">'Retail Statistics'!G11</f>
        <v>0.11</v>
      </c>
      <c r="H7" s="16" t="n">
        <f aca="false">'Retail Statistics'!H11</f>
        <v>0.07</v>
      </c>
      <c r="I7" s="16" t="n">
        <f aca="false">'Retail Statistics'!I11</f>
        <v>0.22</v>
      </c>
      <c r="J7" s="18" t="s">
        <v>48</v>
      </c>
    </row>
    <row r="8" customFormat="false" ht="15" hidden="false" customHeight="true" outlineLevel="0" collapsed="false">
      <c r="A8" s="19" t="s">
        <v>49</v>
      </c>
      <c r="B8" s="16" t="n">
        <f aca="false">B6-B7</f>
        <v>-0.0234419202743248</v>
      </c>
      <c r="C8" s="16" t="n">
        <f aca="false">C6-C7</f>
        <v>-0.0491532443626323</v>
      </c>
      <c r="D8" s="16" t="n">
        <f aca="false">D6-D7</f>
        <v>-0.223026151930262</v>
      </c>
      <c r="E8" s="16" t="n">
        <f aca="false">E6-E7</f>
        <v>-0.0937692653000149</v>
      </c>
      <c r="F8" s="16" t="n">
        <f aca="false">F6-F7</f>
        <v>-0.00459416863672185</v>
      </c>
      <c r="G8" s="16" t="n">
        <f aca="false">G6-G7</f>
        <v>0.0437564551057804</v>
      </c>
      <c r="H8" s="16" t="n">
        <f aca="false">H6-H7</f>
        <v>0.311365740740741</v>
      </c>
      <c r="I8" s="16" t="n">
        <f aca="false">I6-I7</f>
        <v>0.128303715670436</v>
      </c>
      <c r="J8" s="17" t="s">
        <v>46</v>
      </c>
    </row>
    <row r="9" customFormat="false" ht="15" hidden="false" customHeight="true" outlineLevel="0" collapsed="false">
      <c r="A9" s="15"/>
      <c r="J9" s="12"/>
    </row>
    <row r="10" customFormat="false" ht="15" hidden="false" customHeight="true" outlineLevel="0" collapsed="false">
      <c r="A10" s="15" t="s">
        <v>50</v>
      </c>
      <c r="B10" s="16" t="n">
        <f aca="false">'Construction Industries'!B9/'Construction Industries'!B6</f>
        <v>-0.0210030004286327</v>
      </c>
      <c r="C10" s="16" t="n">
        <f aca="false">'Construction Industries'!C9/'Construction Industries'!C6</f>
        <v>-0.0460193281178095</v>
      </c>
      <c r="D10" s="16" t="n">
        <f aca="false">'Construction Industries'!D9/'Construction Industries'!D6</f>
        <v>-0.0552615193026152</v>
      </c>
      <c r="E10" s="16" t="n">
        <f aca="false">'Construction Industries'!E9/'Construction Industries'!E6</f>
        <v>-0.0686817297620829</v>
      </c>
      <c r="F10" s="16" t="n">
        <f aca="false">'Construction Industries'!F9/'Construction Industries'!F6</f>
        <v>-0.0412923561859732</v>
      </c>
      <c r="G10" s="16" t="n">
        <f aca="false">'Construction Industries'!G9/'Construction Industries'!G6</f>
        <v>-0.00999500249875063</v>
      </c>
      <c r="H10" s="16" t="n">
        <f aca="false">'Construction Industries'!H9/'Construction Industries'!H6</f>
        <v>0.0686728395061728</v>
      </c>
      <c r="I10" s="16" t="n">
        <f aca="false">'Construction Industries'!I9/'Construction Industries'!I6</f>
        <v>0.0499192245557351</v>
      </c>
      <c r="J10" s="17" t="s">
        <v>46</v>
      </c>
    </row>
    <row r="11" customFormat="false" ht="15" hidden="false" customHeight="true" outlineLevel="0" collapsed="false">
      <c r="A11" s="15" t="s">
        <v>51</v>
      </c>
      <c r="B11" s="16" t="n">
        <f aca="false">'Construction Industries'!B8/'Construction Industries'!B6</f>
        <v>-0.0654379197028147</v>
      </c>
      <c r="C11" s="16" t="n">
        <f aca="false">'Construction Industries'!C8/'Construction Industries'!C6</f>
        <v>-0.0348212916091425</v>
      </c>
      <c r="D11" s="16" t="n">
        <f aca="false">'Construction Industries'!D8/'Construction Industries'!D6</f>
        <v>-0.127646326276463</v>
      </c>
      <c r="E11" s="16" t="n">
        <f aca="false">'Construction Industries'!E8/'Construction Industries'!E6</f>
        <v>-0.0124195720484812</v>
      </c>
      <c r="F11" s="16" t="n">
        <f aca="false">'Construction Industries'!F8/'Construction Industries'!F6</f>
        <v>0.0895193065405831</v>
      </c>
      <c r="G11" s="16" t="n">
        <f aca="false">'Construction Industries'!G8/'Construction Industries'!G6</f>
        <v>0.150424787606197</v>
      </c>
      <c r="H11" s="16" t="n">
        <f aca="false">'Construction Industries'!H8/'Construction Industries'!H6</f>
        <v>0.281442901234568</v>
      </c>
      <c r="I11" s="16" t="n">
        <f aca="false">'Construction Industries'!I8/'Construction Industries'!I6</f>
        <v>0.283521809369952</v>
      </c>
      <c r="J11" s="17" t="s">
        <v>46</v>
      </c>
    </row>
    <row r="12" customFormat="false" ht="15" hidden="false" customHeight="true" outlineLevel="0" collapsed="false">
      <c r="A12" s="15" t="s">
        <v>52</v>
      </c>
      <c r="B12" s="16" t="n">
        <f aca="false">('Construction Industries'!B7-'Construction Industries'!B9)/'Construction Industries'!B6</f>
        <v>-0.0724389198456922</v>
      </c>
      <c r="C12" s="16" t="n">
        <f aca="false">('Construction Industries'!C7-'Construction Industries'!C9)/'Construction Industries'!C6</f>
        <v>-0.0331339162448228</v>
      </c>
      <c r="D12" s="16" t="n">
        <f aca="false">('Construction Industries'!D7-'Construction Industries'!D9)/'Construction Industries'!D6</f>
        <v>-0.137764632627646</v>
      </c>
      <c r="E12" s="16" t="n">
        <f aca="false">('Construction Industries'!E7-'Construction Industries'!E9)/'Construction Industries'!E6</f>
        <v>-0.00508753553793207</v>
      </c>
      <c r="F12" s="16" t="n">
        <f aca="false">('Construction Industries'!F7-'Construction Industries'!F9)/'Construction Industries'!F6</f>
        <v>0.106698187549251</v>
      </c>
      <c r="G12" s="16" t="n">
        <f aca="false">('Construction Industries'!G7-'Construction Industries'!G9)/'Construction Industries'!G6</f>
        <v>0.163751457604531</v>
      </c>
      <c r="H12" s="16" t="n">
        <f aca="false">('Construction Industries'!H7-'Construction Industries'!H9)/'Construction Industries'!H6</f>
        <v>0.312692901234568</v>
      </c>
      <c r="I12" s="16" t="n">
        <f aca="false">('Construction Industries'!I7-'Construction Industries'!I9)/'Construction Industries'!I6</f>
        <v>0.298384491114701</v>
      </c>
      <c r="J12" s="17" t="s">
        <v>46</v>
      </c>
    </row>
    <row r="13" customFormat="false" ht="15" hidden="false" customHeight="true" outlineLevel="0" collapsed="false">
      <c r="A13" s="19" t="s">
        <v>53</v>
      </c>
      <c r="B13" s="16" t="n">
        <f aca="false">B12-B7</f>
        <v>-0.00243891984569224</v>
      </c>
      <c r="C13" s="16" t="n">
        <f aca="false">C12-C7</f>
        <v>-0.00313391624482283</v>
      </c>
      <c r="D13" s="16" t="n">
        <f aca="false">D12-D7</f>
        <v>-0.167764632627646</v>
      </c>
      <c r="E13" s="16" t="n">
        <f aca="false">E12-E7</f>
        <v>-0.0250875355379321</v>
      </c>
      <c r="F13" s="16" t="n">
        <f aca="false">F12-F7</f>
        <v>0.0366981875492514</v>
      </c>
      <c r="G13" s="16" t="n">
        <f aca="false">G12-G7</f>
        <v>0.0537514576045311</v>
      </c>
      <c r="H13" s="16" t="n">
        <f aca="false">H12-H7</f>
        <v>0.242692901234568</v>
      </c>
      <c r="I13" s="16" t="n">
        <f aca="false">I12-I7</f>
        <v>0.0783844911147011</v>
      </c>
      <c r="J13" s="17" t="s">
        <v>46</v>
      </c>
    </row>
    <row r="14" customFormat="false" ht="15" hidden="false" customHeight="true" outlineLevel="0" collapsed="false">
      <c r="A14" s="15"/>
      <c r="J14" s="12"/>
    </row>
    <row r="15" customFormat="false" ht="15" hidden="false" customHeight="true" outlineLevel="0" collapsed="false">
      <c r="A15" s="15" t="s">
        <v>54</v>
      </c>
      <c r="B15" s="20" t="str">
        <f aca="false">IF('Dealer Inventory'!G4="","",'Dealer Inventory'!G4)</f>
        <v/>
      </c>
      <c r="C15" s="20" t="str">
        <f aca="false">IF('Dealer Inventory'!G5="","",'Dealer Inventory'!G5)</f>
        <v/>
      </c>
      <c r="D15" s="20" t="str">
        <f aca="false">IF('Dealer Inventory'!G6="","",'Dealer Inventory'!G6)</f>
        <v/>
      </c>
      <c r="E15" s="20" t="str">
        <f aca="false">IF('Dealer Inventory'!G7="","",'Dealer Inventory'!G7)</f>
        <v/>
      </c>
      <c r="F15" s="20" t="str">
        <f aca="false">IF('Dealer Inventory'!G8="","",'Dealer Inventory'!G8)</f>
        <v/>
      </c>
      <c r="G15" s="20" t="str">
        <f aca="false">IF('Dealer Inventory'!G9="","",'Dealer Inventory'!G9)</f>
        <v/>
      </c>
      <c r="H15" s="21" t="n">
        <f aca="false">IF('Dealer Inventory'!G10="","",'Dealer Inventory'!G10)</f>
        <v>1500</v>
      </c>
      <c r="I15" s="21" t="n">
        <f aca="false">IF('Dealer Inventory'!G11="","",'Dealer Inventory'!G11)</f>
        <v>400</v>
      </c>
      <c r="J15" s="18" t="s">
        <v>55</v>
      </c>
    </row>
    <row r="16" customFormat="false" ht="15" hidden="false" customHeight="true" outlineLevel="0" collapsed="false">
      <c r="A16" s="15" t="s">
        <v>56</v>
      </c>
      <c r="B16" s="21" t="str">
        <f aca="false">IF('Dealer Inventory'!B4="","",'Dealer Inventory'!B4)</f>
        <v/>
      </c>
      <c r="C16" s="21" t="n">
        <f aca="false">IF('Dealer Inventory'!B5="","",'Dealer Inventory'!B5)</f>
        <v>-1300</v>
      </c>
      <c r="D16" s="21" t="n">
        <f aca="false">IF('Dealer Inventory'!B6="","",'Dealer Inventory'!B6)</f>
        <v>100</v>
      </c>
      <c r="E16" s="21" t="str">
        <f aca="false">IF('Dealer Inventory'!B7="","",'Dealer Inventory'!B7)</f>
        <v/>
      </c>
      <c r="F16" s="21" t="str">
        <f aca="false">IF('Dealer Inventory'!B8="","",'Dealer Inventory'!B8)</f>
        <v/>
      </c>
      <c r="G16" s="21" t="n">
        <f aca="false">IF('Dealer Inventory'!B9="","",'Dealer Inventory'!B9)</f>
        <v>0</v>
      </c>
      <c r="H16" s="21" t="n">
        <f aca="false">IF('Dealer Inventory'!B10="","",'Dealer Inventory'!B10)</f>
        <v>2000</v>
      </c>
      <c r="I16" s="21" t="str">
        <f aca="false">IF('Dealer Inventory'!B11="","",'Dealer Inventory'!B11)</f>
        <v/>
      </c>
    </row>
    <row r="17" customFormat="false" ht="15" hidden="false" customHeight="true" outlineLevel="0" collapsed="false">
      <c r="A17" s="15" t="s">
        <v>57</v>
      </c>
      <c r="B17" s="22" t="s">
        <v>58</v>
      </c>
      <c r="C17" s="15" t="s">
        <v>59</v>
      </c>
      <c r="D17" s="15" t="s">
        <v>60</v>
      </c>
      <c r="E17" s="15" t="s">
        <v>59</v>
      </c>
      <c r="F17" s="15" t="s">
        <v>61</v>
      </c>
      <c r="G17" s="15" t="s">
        <v>62</v>
      </c>
      <c r="H17" s="15" t="s">
        <v>61</v>
      </c>
      <c r="I17" s="15" t="s">
        <v>61</v>
      </c>
      <c r="J17" s="12" t="s">
        <v>63</v>
      </c>
    </row>
    <row r="18" customFormat="false" ht="15" hidden="false" customHeight="true" outlineLevel="0" collapsed="false">
      <c r="A18" s="15"/>
      <c r="J18" s="12"/>
    </row>
    <row r="19" customFormat="false" ht="15" hidden="false" customHeight="true" outlineLevel="0" collapsed="false">
      <c r="A19" s="15" t="s">
        <v>64</v>
      </c>
      <c r="B19" s="16" t="n">
        <f aca="false">'Construction Industries'!B15</f>
        <v>0.234</v>
      </c>
      <c r="C19" s="16" t="n">
        <f aca="false">'Construction Industries'!C15</f>
        <v>0.196</v>
      </c>
      <c r="D19" s="16" t="n">
        <f aca="false">'Construction Industries'!D15</f>
        <v>0.198</v>
      </c>
      <c r="E19" s="16" t="n">
        <f aca="false">'Construction Industries'!E15</f>
        <v>0.201</v>
      </c>
      <c r="F19" s="16" t="n">
        <f aca="false">'Construction Industries'!F15</f>
        <v>0.204</v>
      </c>
      <c r="G19" s="16" t="n">
        <f aca="false">'Construction Industries'!G15</f>
        <v>0.149</v>
      </c>
      <c r="H19" s="16" t="n">
        <f aca="false">'Construction Industries'!H15</f>
        <v>0.214</v>
      </c>
      <c r="I19" s="16" t="n">
        <f aca="false">'Construction Industries'!I15</f>
        <v>0.233</v>
      </c>
      <c r="J19" s="18" t="s">
        <v>48</v>
      </c>
    </row>
    <row r="20" customFormat="false" ht="15" hidden="false" customHeight="true" outlineLevel="0" collapsed="false">
      <c r="A20" s="15" t="s">
        <v>65</v>
      </c>
      <c r="B20" s="23" t="n">
        <v>0.264</v>
      </c>
      <c r="C20" s="23" t="n">
        <v>0.235</v>
      </c>
      <c r="D20" s="23" t="n">
        <v>0.275</v>
      </c>
      <c r="E20" s="24"/>
      <c r="F20" s="23" t="n">
        <v>0.234</v>
      </c>
      <c r="G20" s="23" t="n">
        <v>0.196</v>
      </c>
      <c r="H20" s="23" t="n">
        <v>0.198</v>
      </c>
      <c r="I20" s="23" t="n">
        <v>0.201</v>
      </c>
      <c r="J20" s="18" t="s">
        <v>66</v>
      </c>
    </row>
    <row r="21" customFormat="false" ht="15" hidden="false" customHeight="true" outlineLevel="0" collapsed="false">
      <c r="A21" s="15" t="s">
        <v>67</v>
      </c>
      <c r="B21" s="25" t="n">
        <f aca="false">(B19-B20)*10000</f>
        <v>-300</v>
      </c>
      <c r="C21" s="25" t="n">
        <f aca="false">(C19-C20)*10000</f>
        <v>-390</v>
      </c>
      <c r="D21" s="25" t="n">
        <f aca="false">(D19-D20)*10000</f>
        <v>-770</v>
      </c>
      <c r="E21" s="24"/>
      <c r="F21" s="25" t="n">
        <f aca="false">(F19-F20)*10000</f>
        <v>-300</v>
      </c>
      <c r="G21" s="25" t="n">
        <f aca="false">(G19-G20)*10000</f>
        <v>-470</v>
      </c>
      <c r="H21" s="25" t="n">
        <f aca="false">(H19-H20)*10000</f>
        <v>160</v>
      </c>
      <c r="I21" s="25" t="n">
        <f aca="false">(I19-I20)*10000</f>
        <v>320</v>
      </c>
      <c r="J21" s="17" t="s">
        <v>46</v>
      </c>
    </row>
    <row r="22" customFormat="false" ht="15" hidden="false" customHeight="true" outlineLevel="0" collapsed="false">
      <c r="A22" s="15"/>
      <c r="J22" s="12"/>
    </row>
    <row r="23" customFormat="false" ht="15" hidden="false" customHeight="true" outlineLevel="0" collapsed="false">
      <c r="A23" s="15" t="s">
        <v>68</v>
      </c>
      <c r="B23" s="26" t="n">
        <f aca="false">'Cash Flow'!B6</f>
        <v>3600</v>
      </c>
      <c r="C23" s="24"/>
      <c r="D23" s="24"/>
      <c r="E23" s="27" t="n">
        <f aca="false">'Cash Flow'!B21</f>
        <v>3122</v>
      </c>
      <c r="F23" s="27" t="n">
        <f aca="false">'Cash Flow'!B22</f>
        <v>3737</v>
      </c>
      <c r="G23" s="27" t="n">
        <f aca="false">'Cash Flow'!B23</f>
        <v>3591</v>
      </c>
      <c r="H23" s="26" t="n">
        <f aca="false">'Cash Flow'!B11</f>
        <v>1870</v>
      </c>
      <c r="I23" s="27" t="n">
        <f aca="false">'Cash Flow'!B24</f>
        <v>4371</v>
      </c>
      <c r="J23" s="28" t="s">
        <v>69</v>
      </c>
    </row>
    <row r="24" customFormat="false" ht="15" hidden="false" customHeight="true" outlineLevel="0" collapsed="false">
      <c r="A24" s="15" t="s">
        <v>70</v>
      </c>
      <c r="B24" s="24"/>
      <c r="C24" s="24"/>
      <c r="D24" s="24"/>
      <c r="E24" s="24"/>
      <c r="F24" s="24"/>
      <c r="G24" s="27" t="n">
        <f aca="false">'Cash Flow'!C23</f>
        <v>898</v>
      </c>
      <c r="H24" s="26" t="n">
        <f aca="false">'Cash Flow'!C11</f>
        <v>728</v>
      </c>
      <c r="I24" s="27" t="n">
        <f aca="false">'Cash Flow'!C24</f>
        <v>587</v>
      </c>
      <c r="J24" s="28" t="s">
        <v>69</v>
      </c>
    </row>
    <row r="25" customFormat="false" ht="15" hidden="false" customHeight="true" outlineLevel="0" collapsed="false">
      <c r="A25" s="15" t="s">
        <v>71</v>
      </c>
      <c r="B25" s="16" t="n">
        <f aca="false">IFERROR(B23/Consolidated!B5,"")</f>
        <v>0.223519185396747</v>
      </c>
      <c r="C25" s="24"/>
      <c r="D25" s="24"/>
      <c r="E25" s="16" t="n">
        <f aca="false">IFERROR(E23/Consolidated!E5,"")</f>
        <v>0.188424165610477</v>
      </c>
      <c r="F25" s="16" t="n">
        <f aca="false">IFERROR(F23/Consolidated!F5,"")</f>
        <v>0.211872094341762</v>
      </c>
      <c r="G25" s="16" t="n">
        <f aca="false">IFERROR(G23/Consolidated!G5,"")</f>
        <v>0.187686196623635</v>
      </c>
      <c r="H25" s="16" t="n">
        <f aca="false">IFERROR(H23/Consolidated!H5,"")</f>
        <v>0.107378696525983</v>
      </c>
      <c r="I25" s="16" t="n">
        <f aca="false">IFERROR(I23/Consolidated!I5,"")</f>
        <v>0.212773207418585</v>
      </c>
      <c r="J25" s="17" t="s">
        <v>46</v>
      </c>
    </row>
    <row r="26" customFormat="false" ht="34.5" hidden="false" customHeight="true" outlineLevel="0" collapsed="false">
      <c r="A26" s="15"/>
      <c r="J26" s="12"/>
    </row>
    <row r="27" customFormat="false" ht="34.5" hidden="false" customHeight="true" outlineLevel="0" collapsed="false">
      <c r="A27" s="15" t="s">
        <v>72</v>
      </c>
      <c r="B27" s="29" t="s">
        <v>73</v>
      </c>
      <c r="C27" s="29" t="s">
        <v>73</v>
      </c>
      <c r="D27" s="29" t="s">
        <v>73</v>
      </c>
      <c r="E27" s="29" t="s">
        <v>73</v>
      </c>
      <c r="F27" s="29" t="s">
        <v>73</v>
      </c>
      <c r="G27" s="29" t="s">
        <v>73</v>
      </c>
      <c r="H27" s="30" t="s">
        <v>74</v>
      </c>
      <c r="I27" s="30" t="s">
        <v>75</v>
      </c>
      <c r="J27" s="12" t="s">
        <v>76</v>
      </c>
    </row>
    <row r="28" customFormat="false" ht="15" hidden="false" customHeight="true" outlineLevel="0" collapsed="false"/>
    <row r="29" customFormat="false" ht="15" hidden="false" customHeight="true" outlineLevel="0" collapsed="false">
      <c r="A29" s="15" t="s">
        <v>77</v>
      </c>
    </row>
    <row r="30" customFormat="false" ht="15" hidden="false" customHeight="true" outlineLevel="0" collapsed="false">
      <c r="A30" s="15" t="s">
        <v>78</v>
      </c>
    </row>
    <row r="31" customFormat="false" ht="15" hidden="false" customHeight="true" outlineLevel="0" collapsed="false">
      <c r="A31" s="19" t="s">
        <v>79</v>
      </c>
    </row>
    <row r="32" customFormat="false" ht="15" hidden="false" customHeight="true" outlineLevel="0" collapsed="false">
      <c r="A32" s="22" t="s">
        <v>80</v>
      </c>
    </row>
    <row r="33" customFormat="false" ht="15" hidden="false" customHeight="true" outlineLevel="0" collapsed="false">
      <c r="A33" s="31" t="s">
        <v>81</v>
      </c>
    </row>
    <row r="34" customFormat="false" ht="15" hidden="false" customHeight="true" outlineLevel="0" collapsed="false">
      <c r="A34" s="18" t="s">
        <v>82</v>
      </c>
    </row>
    <row r="35" customFormat="false" ht="15" hidden="false" customHeight="true" outlineLevel="0" collapsed="false">
      <c r="A35" s="15" t="s">
        <v>83</v>
      </c>
    </row>
    <row r="36" customFormat="false" ht="15" hidden="false" customHeight="true" outlineLevel="0" collapsed="false">
      <c r="A36" s="22" t="s">
        <v>84</v>
      </c>
    </row>
    <row r="38" customFormat="false" ht="15" hidden="false" customHeight="true" outlineLevel="0" collapsed="false">
      <c r="A38" s="31" t="s">
        <v>85</v>
      </c>
    </row>
    <row r="39" customFormat="false" ht="15" hidden="false" customHeight="true" outlineLevel="0" collapsed="false">
      <c r="A39" s="32" t="s">
        <v>86</v>
      </c>
    </row>
    <row r="40" customFormat="false" ht="15" hidden="false" customHeight="true" outlineLevel="0" collapsed="false">
      <c r="A40" s="15" t="s">
        <v>87</v>
      </c>
      <c r="B40" s="33" t="n">
        <f aca="false">('Construction Industries'!B7-'Construction Industries'!B9)-('Retail Statistics'!B11*'Construction Industries'!B6)</f>
        <v>-17.0699999999999</v>
      </c>
      <c r="C40" s="33" t="n">
        <f aca="false">('Construction Industries'!C7-'Construction Industries'!C9)-('Retail Statistics'!C11*'Construction Industries'!C6)</f>
        <v>-20.43</v>
      </c>
      <c r="D40" s="33" t="n">
        <f aca="false">('Construction Industries'!D7-'Construction Industries'!D9)-('Retail Statistics'!D11*'Construction Industries'!D6)</f>
        <v>-1077.72</v>
      </c>
      <c r="E40" s="33" t="n">
        <f aca="false">('Construction Industries'!E7-'Construction Industries'!E9)-('Retail Statistics'!E11*'Construction Industries'!E6)</f>
        <v>-167.66</v>
      </c>
      <c r="F40" s="33" t="n">
        <f aca="false">('Construction Industries'!F7-'Construction Industries'!F9)-('Retail Statistics'!F11*'Construction Industries'!F6)</f>
        <v>232.85</v>
      </c>
      <c r="G40" s="33" t="n">
        <f aca="false">('Construction Industries'!G7-'Construction Industries'!G9)-('Retail Statistics'!G11*'Construction Industries'!G6)</f>
        <v>322.67</v>
      </c>
      <c r="H40" s="33" t="n">
        <f aca="false">('Construction Industries'!H7-'Construction Industries'!H9)-('Retail Statistics'!H11*'Construction Industries'!H6)</f>
        <v>1258.12</v>
      </c>
      <c r="I40" s="33" t="n">
        <f aca="false">('Construction Industries'!I7-'Construction Industries'!I9)-('Retail Statistics'!I11*'Construction Industries'!I6)</f>
        <v>485.2</v>
      </c>
    </row>
    <row r="41" customFormat="false" ht="15" hidden="false" customHeight="true" outlineLevel="0" collapsed="false">
      <c r="A41" s="15" t="s">
        <v>88</v>
      </c>
      <c r="D41" s="21" t="n">
        <v>100</v>
      </c>
      <c r="H41" s="21" t="n">
        <v>1500</v>
      </c>
      <c r="I41" s="21" t="n">
        <v>400</v>
      </c>
    </row>
    <row r="42" customFormat="false" ht="15" hidden="false" customHeight="true" outlineLevel="0" collapsed="false">
      <c r="A42" s="15" t="s">
        <v>89</v>
      </c>
      <c r="D42" s="21" t="n">
        <v>1400</v>
      </c>
      <c r="H42" s="15" t="s">
        <v>90</v>
      </c>
      <c r="I42" s="15" t="s">
        <v>91</v>
      </c>
    </row>
    <row r="43" customFormat="false" ht="15" hidden="false" customHeight="true" outlineLevel="0" collapsed="false">
      <c r="A43" s="15" t="s">
        <v>92</v>
      </c>
      <c r="D43" s="32" t="s">
        <v>93</v>
      </c>
      <c r="H43" s="32" t="s">
        <v>94</v>
      </c>
      <c r="I43" s="32" t="s">
        <v>94</v>
      </c>
    </row>
    <row r="45" customFormat="false" ht="15" hidden="false" customHeight="true" outlineLevel="0" collapsed="false">
      <c r="A45" s="15" t="s">
        <v>95</v>
      </c>
    </row>
    <row r="46" customFormat="false" ht="15" hidden="false" customHeight="true" outlineLevel="0" collapsed="false">
      <c r="A46" s="15" t="s">
        <v>96</v>
      </c>
    </row>
    <row r="47" customFormat="false" ht="15" hidden="false" customHeight="true" outlineLevel="0" collapsed="false">
      <c r="A47" s="15" t="s">
        <v>97</v>
      </c>
    </row>
    <row r="48" customFormat="false" ht="15" hidden="false" customHeight="true" outlineLevel="0" collapsed="false">
      <c r="A48" s="22" t="s">
        <v>98</v>
      </c>
    </row>
    <row r="49" customFormat="false" ht="15" hidden="false" customHeight="true" outlineLevel="0" collapsed="false">
      <c r="A49" s="18" t="s">
        <v>99</v>
      </c>
    </row>
    <row r="50" customFormat="false" ht="15" hidden="false" customHeight="true" outlineLevel="0" collapsed="false">
      <c r="A50" s="15" t="s">
        <v>100</v>
      </c>
    </row>
    <row r="51" customFormat="false" ht="15" hidden="false" customHeight="true" outlineLevel="0" collapsed="false">
      <c r="A51" s="15" t="s">
        <v>101</v>
      </c>
    </row>
    <row r="52" customFormat="false" ht="15" hidden="false" customHeight="true" outlineLevel="0" collapsed="false">
      <c r="A52" s="22" t="s">
        <v>102</v>
      </c>
    </row>
    <row r="53" customFormat="false" ht="15" hidden="false" customHeight="true" outlineLevel="0" collapsed="false">
      <c r="A53" s="31" t="s">
        <v>103</v>
      </c>
    </row>
    <row r="54" customFormat="false" ht="15" hidden="false" customHeight="true" outlineLevel="0" collapsed="false">
      <c r="A54" s="32" t="s">
        <v>104</v>
      </c>
    </row>
    <row r="55" customFormat="false" ht="15" hidden="false" customHeight="true" outlineLevel="0" collapsed="false">
      <c r="A55" s="15" t="s">
        <v>105</v>
      </c>
      <c r="G55" s="34" t="n">
        <f aca="false">'Construction Industries'!G15</f>
        <v>0.149</v>
      </c>
      <c r="H55" s="34" t="n">
        <f aca="false">'Construction Industries'!H15</f>
        <v>0.214</v>
      </c>
      <c r="I55" s="35" t="n">
        <f aca="false">'Construction Industries'!I15</f>
        <v>0.233</v>
      </c>
    </row>
    <row r="56" customFormat="false" ht="15" hidden="false" customHeight="true" outlineLevel="0" collapsed="false">
      <c r="A56" s="15" t="s">
        <v>106</v>
      </c>
      <c r="G56" s="33" t="n">
        <f aca="false">-'Construction Industries'!G23</f>
        <v>420</v>
      </c>
      <c r="H56" s="33" t="n">
        <f aca="false">-'Construction Industries'!H23</f>
        <v>362</v>
      </c>
      <c r="I56" s="33" t="n">
        <f aca="false">0.034*'Construction Industries'!I5</f>
        <v>283.764</v>
      </c>
    </row>
    <row r="57" customFormat="false" ht="15" hidden="false" customHeight="true" outlineLevel="0" collapsed="false">
      <c r="A57" s="15" t="s">
        <v>107</v>
      </c>
      <c r="G57" s="34" t="n">
        <f aca="false">('Construction Industries'!G14-'Construction Industries'!G23)/'Construction Industries'!G5</f>
        <v>0.209356049667918</v>
      </c>
      <c r="H57" s="34" t="n">
        <f aca="false">('Construction Industries'!H14-'Construction Industries'!H23)/'Construction Industries'!H5</f>
        <v>0.264907135874878</v>
      </c>
      <c r="I57" s="34" t="n">
        <f aca="false">('Construction Industries'!I14+I56)/'Construction Industries'!I5</f>
        <v>0.267285406182602</v>
      </c>
    </row>
    <row r="58" customFormat="false" ht="15" hidden="false" customHeight="true" outlineLevel="0" collapsed="false">
      <c r="A58" s="15" t="s">
        <v>108</v>
      </c>
      <c r="G58" s="36" t="n">
        <f aca="false">(G57-G55)*10000</f>
        <v>603.56049667918</v>
      </c>
      <c r="H58" s="36" t="n">
        <f aca="false">(H57-H55)*10000</f>
        <v>509.071358748778</v>
      </c>
      <c r="I58" s="36" t="n">
        <f aca="false">I56/'Construction Industries'!I5*10000</f>
        <v>340</v>
      </c>
    </row>
    <row r="59" customFormat="false" ht="15" hidden="false" customHeight="true" outlineLevel="0" collapsed="false">
      <c r="A59" s="32" t="s">
        <v>109</v>
      </c>
    </row>
    <row r="60" customFormat="false" ht="15" hidden="false" customHeight="true" outlineLevel="0" collapsed="false">
      <c r="A60" s="22" t="s">
        <v>110</v>
      </c>
    </row>
    <row r="61" customFormat="false" ht="15" hidden="false" customHeight="true" outlineLevel="0" collapsed="false">
      <c r="A61" s="15" t="s">
        <v>111</v>
      </c>
    </row>
    <row r="62" customFormat="false" ht="15" hidden="false" customHeight="true" outlineLevel="0" collapsed="false">
      <c r="A62" s="22" t="s">
        <v>112</v>
      </c>
    </row>
    <row r="63" customFormat="false" ht="15" hidden="false" customHeight="true" outlineLevel="0" collapsed="false">
      <c r="A63" s="18" t="s">
        <v>113</v>
      </c>
    </row>
    <row r="64" customFormat="false" ht="15" hidden="false" customHeight="true" outlineLevel="0" collapsed="false">
      <c r="A64" s="22" t="s">
        <v>114</v>
      </c>
    </row>
    <row r="65" customFormat="false" ht="15" hidden="false" customHeight="true" outlineLevel="0" collapsed="false">
      <c r="A65" s="31" t="s">
        <v>115</v>
      </c>
    </row>
    <row r="66" customFormat="false" ht="15" hidden="false" customHeight="true" outlineLevel="0" collapsed="false">
      <c r="A66" s="15"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12"/>
    <col collapsed="false" customWidth="true" hidden="false" outlineLevel="0" max="10" min="10" style="1" width="14"/>
  </cols>
  <sheetData>
    <row r="1" customFormat="false" ht="15" hidden="false" customHeight="true" outlineLevel="0" collapsed="false">
      <c r="A1" s="11" t="s">
        <v>117</v>
      </c>
    </row>
    <row r="2" customFormat="false" ht="15" hidden="false" customHeight="true" outlineLevel="0" collapsed="false">
      <c r="A2" s="12" t="s">
        <v>118</v>
      </c>
    </row>
    <row r="4" customFormat="false" ht="27.75" hidden="false" customHeight="true" outlineLevel="0" collapsed="false">
      <c r="A4" s="14" t="s">
        <v>119</v>
      </c>
      <c r="B4" s="14" t="s">
        <v>36</v>
      </c>
      <c r="C4" s="14" t="s">
        <v>37</v>
      </c>
      <c r="D4" s="14" t="s">
        <v>38</v>
      </c>
      <c r="E4" s="14" t="s">
        <v>39</v>
      </c>
      <c r="F4" s="14" t="s">
        <v>40</v>
      </c>
      <c r="G4" s="14" t="s">
        <v>41</v>
      </c>
      <c r="H4" s="14" t="s">
        <v>42</v>
      </c>
      <c r="I4" s="14" t="s">
        <v>43</v>
      </c>
      <c r="J4" s="14" t="s">
        <v>44</v>
      </c>
    </row>
    <row r="5" customFormat="false" ht="15" hidden="false" customHeight="true" outlineLevel="0" collapsed="false">
      <c r="A5" s="15" t="s">
        <v>120</v>
      </c>
      <c r="B5" s="26" t="n">
        <v>16106</v>
      </c>
      <c r="C5" s="26" t="n">
        <v>16215</v>
      </c>
      <c r="D5" s="26" t="n">
        <v>14249</v>
      </c>
      <c r="E5" s="26" t="n">
        <v>16569</v>
      </c>
      <c r="F5" s="26" t="n">
        <v>17638</v>
      </c>
      <c r="G5" s="26" t="n">
        <v>19133</v>
      </c>
      <c r="H5" s="26" t="n">
        <v>17415</v>
      </c>
      <c r="I5" s="26" t="n">
        <v>20543</v>
      </c>
      <c r="J5" s="18" t="s">
        <v>66</v>
      </c>
    </row>
    <row r="6" customFormat="false" ht="15" hidden="false" customHeight="true" outlineLevel="0" collapsed="false">
      <c r="A6" s="15" t="s">
        <v>121</v>
      </c>
      <c r="B6" s="26" t="n">
        <v>16810</v>
      </c>
      <c r="C6" s="26" t="n">
        <v>17070</v>
      </c>
      <c r="D6" s="26" t="n">
        <v>15799</v>
      </c>
      <c r="E6" s="26" t="n">
        <v>16689</v>
      </c>
      <c r="F6" s="26" t="n">
        <v>16106</v>
      </c>
      <c r="G6" s="26" t="n">
        <v>16215</v>
      </c>
      <c r="H6" s="26" t="n">
        <v>14249</v>
      </c>
      <c r="I6" s="26" t="n">
        <v>16569</v>
      </c>
      <c r="J6" s="18" t="s">
        <v>66</v>
      </c>
    </row>
    <row r="7" customFormat="false" ht="15" hidden="false" customHeight="true" outlineLevel="0" collapsed="false">
      <c r="A7" s="19" t="s">
        <v>122</v>
      </c>
      <c r="B7" s="21" t="n">
        <f aca="false">B5-B6</f>
        <v>-704</v>
      </c>
      <c r="C7" s="21" t="n">
        <f aca="false">C5-C6</f>
        <v>-855</v>
      </c>
      <c r="D7" s="21" t="n">
        <f aca="false">D5-D6</f>
        <v>-1550</v>
      </c>
      <c r="E7" s="21" t="n">
        <f aca="false">E5-E6</f>
        <v>-120</v>
      </c>
      <c r="F7" s="21" t="n">
        <f aca="false">F5-F6</f>
        <v>1532</v>
      </c>
      <c r="G7" s="21" t="n">
        <f aca="false">G5-G6</f>
        <v>2918</v>
      </c>
      <c r="H7" s="21" t="n">
        <f aca="false">H5-H6</f>
        <v>3166</v>
      </c>
      <c r="I7" s="21" t="n">
        <f aca="false">I5-I6</f>
        <v>3974</v>
      </c>
      <c r="J7" s="17" t="s">
        <v>46</v>
      </c>
    </row>
    <row r="8" customFormat="false" ht="15" hidden="false" customHeight="true" outlineLevel="0" collapsed="false">
      <c r="A8" s="15" t="s">
        <v>123</v>
      </c>
      <c r="B8" s="26" t="n">
        <v>-759</v>
      </c>
      <c r="C8" s="26" t="n">
        <v>-859</v>
      </c>
      <c r="D8" s="26" t="n">
        <v>-1110</v>
      </c>
      <c r="E8" s="26" t="n">
        <v>237</v>
      </c>
      <c r="F8" s="26" t="n">
        <v>1554</v>
      </c>
      <c r="G8" s="26" t="n">
        <v>2708</v>
      </c>
      <c r="H8" s="26" t="n">
        <v>2318</v>
      </c>
      <c r="I8" s="27" t="n">
        <v>3113</v>
      </c>
      <c r="J8" s="18" t="s">
        <v>124</v>
      </c>
    </row>
    <row r="9" customFormat="false" ht="15" hidden="false" customHeight="true" outlineLevel="0" collapsed="false">
      <c r="A9" s="15" t="s">
        <v>125</v>
      </c>
      <c r="B9" s="26" t="n">
        <v>104</v>
      </c>
      <c r="C9" s="26" t="n">
        <v>-54</v>
      </c>
      <c r="D9" s="26" t="n">
        <v>-250</v>
      </c>
      <c r="E9" s="26" t="n">
        <v>-414</v>
      </c>
      <c r="F9" s="26" t="n">
        <v>-191</v>
      </c>
      <c r="G9" s="26" t="n">
        <v>38</v>
      </c>
      <c r="H9" s="26" t="n">
        <v>426</v>
      </c>
      <c r="I9" s="26" t="n">
        <v>595</v>
      </c>
      <c r="J9" s="18" t="s">
        <v>66</v>
      </c>
    </row>
    <row r="10" customFormat="false" ht="15" hidden="false" customHeight="true" outlineLevel="0" collapsed="false">
      <c r="A10" s="15" t="s">
        <v>126</v>
      </c>
      <c r="B10" s="26" t="n">
        <v>-102</v>
      </c>
      <c r="C10" s="26" t="n">
        <v>8</v>
      </c>
      <c r="D10" s="26" t="n">
        <v>-222</v>
      </c>
      <c r="E10" s="26" t="n">
        <v>11</v>
      </c>
      <c r="F10" s="26" t="n">
        <v>132</v>
      </c>
      <c r="G10" s="26" t="n">
        <v>124</v>
      </c>
      <c r="H10" s="26" t="n">
        <v>351</v>
      </c>
      <c r="I10" s="26" t="n">
        <v>199</v>
      </c>
      <c r="J10" s="18" t="s">
        <v>66</v>
      </c>
    </row>
    <row r="11" customFormat="false" ht="15" hidden="false" customHeight="true" outlineLevel="0" collapsed="false">
      <c r="A11" s="15" t="s">
        <v>127</v>
      </c>
      <c r="B11" s="26" t="n">
        <v>53</v>
      </c>
      <c r="C11" s="26" t="n">
        <v>50</v>
      </c>
      <c r="D11" s="26" t="n">
        <v>32</v>
      </c>
      <c r="E11" s="26" t="n">
        <v>46</v>
      </c>
      <c r="F11" s="26" t="n">
        <v>37</v>
      </c>
      <c r="G11" s="26" t="n">
        <v>48</v>
      </c>
      <c r="H11" s="26" t="n">
        <v>71</v>
      </c>
      <c r="I11" s="26" t="n">
        <v>67</v>
      </c>
      <c r="J11" s="18" t="s">
        <v>66</v>
      </c>
    </row>
    <row r="12" customFormat="false" ht="15" hidden="false" customHeight="true" outlineLevel="0" collapsed="false">
      <c r="A12" s="19" t="s">
        <v>128</v>
      </c>
      <c r="B12" s="21" t="n">
        <f aca="false">SUM(B8:B11)</f>
        <v>-704</v>
      </c>
      <c r="C12" s="21" t="n">
        <f aca="false">SUM(C8:C11)</f>
        <v>-855</v>
      </c>
      <c r="D12" s="21" t="n">
        <f aca="false">SUM(D8:D11)</f>
        <v>-1550</v>
      </c>
      <c r="E12" s="21" t="n">
        <f aca="false">SUM(E8:E11)</f>
        <v>-120</v>
      </c>
      <c r="F12" s="21" t="n">
        <f aca="false">SUM(F8:F11)</f>
        <v>1532</v>
      </c>
      <c r="G12" s="21" t="n">
        <f aca="false">SUM(G8:G11)</f>
        <v>2918</v>
      </c>
      <c r="H12" s="21" t="n">
        <f aca="false">SUM(H8:H11)</f>
        <v>3166</v>
      </c>
      <c r="I12" s="21" t="n">
        <f aca="false">SUM(I8:I11)</f>
        <v>3974</v>
      </c>
      <c r="J12" s="17" t="s">
        <v>46</v>
      </c>
    </row>
    <row r="13" customFormat="false" ht="15" hidden="false" customHeight="true" outlineLevel="0" collapsed="false">
      <c r="A13" s="19" t="s">
        <v>129</v>
      </c>
      <c r="B13" s="21" t="n">
        <f aca="false">B7-B12</f>
        <v>0</v>
      </c>
      <c r="C13" s="21" t="n">
        <f aca="false">C7-C12</f>
        <v>0</v>
      </c>
      <c r="D13" s="21" t="n">
        <f aca="false">D7-D12</f>
        <v>0</v>
      </c>
      <c r="E13" s="21" t="n">
        <f aca="false">E7-E12</f>
        <v>0</v>
      </c>
      <c r="F13" s="21" t="n">
        <f aca="false">F7-F12</f>
        <v>0</v>
      </c>
      <c r="G13" s="21" t="n">
        <f aca="false">G7-G12</f>
        <v>0</v>
      </c>
      <c r="H13" s="21" t="n">
        <f aca="false">H7-H12</f>
        <v>0</v>
      </c>
      <c r="I13" s="21" t="n">
        <f aca="false">I7-I12</f>
        <v>0</v>
      </c>
      <c r="J13" s="17" t="s">
        <v>46</v>
      </c>
    </row>
    <row r="15" customFormat="false" ht="15" hidden="false" customHeight="true" outlineLevel="0" collapsed="false">
      <c r="A15" s="37" t="s">
        <v>130</v>
      </c>
    </row>
    <row r="16" customFormat="false" ht="15" hidden="false" customHeight="true" outlineLevel="0" collapsed="false">
      <c r="A16" s="12"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12"/>
    <col collapsed="false" customWidth="true" hidden="false" outlineLevel="0" max="10" min="10" style="1" width="14"/>
  </cols>
  <sheetData>
    <row r="1" customFormat="false" ht="15" hidden="false" customHeight="true" outlineLevel="0" collapsed="false">
      <c r="A1" s="11" t="s">
        <v>132</v>
      </c>
    </row>
    <row r="2" customFormat="false" ht="15" hidden="false" customHeight="true" outlineLevel="0" collapsed="false">
      <c r="A2" s="38" t="s">
        <v>133</v>
      </c>
    </row>
    <row r="4" customFormat="false" ht="27.75" hidden="false" customHeight="true" outlineLevel="0" collapsed="false">
      <c r="A4" s="14" t="s">
        <v>119</v>
      </c>
      <c r="B4" s="14" t="s">
        <v>36</v>
      </c>
      <c r="C4" s="14" t="s">
        <v>37</v>
      </c>
      <c r="D4" s="14" t="s">
        <v>38</v>
      </c>
      <c r="E4" s="14" t="s">
        <v>39</v>
      </c>
      <c r="F4" s="14" t="s">
        <v>40</v>
      </c>
      <c r="G4" s="14" t="s">
        <v>41</v>
      </c>
      <c r="H4" s="14" t="s">
        <v>42</v>
      </c>
      <c r="I4" s="14" t="s">
        <v>43</v>
      </c>
      <c r="J4" s="14" t="s">
        <v>44</v>
      </c>
    </row>
    <row r="5" customFormat="false" ht="15" hidden="false" customHeight="true" outlineLevel="0" collapsed="false">
      <c r="A5" s="15" t="s">
        <v>134</v>
      </c>
      <c r="B5" s="26" t="n">
        <v>6345</v>
      </c>
      <c r="C5" s="26" t="n">
        <v>6003</v>
      </c>
      <c r="D5" s="26" t="n">
        <v>5184</v>
      </c>
      <c r="E5" s="26" t="n">
        <v>6190</v>
      </c>
      <c r="F5" s="26" t="n">
        <v>6760</v>
      </c>
      <c r="G5" s="26" t="n">
        <v>6926</v>
      </c>
      <c r="H5" s="26" t="n">
        <v>7161</v>
      </c>
      <c r="I5" s="26" t="n">
        <v>8346</v>
      </c>
      <c r="J5" s="18" t="s">
        <v>66</v>
      </c>
    </row>
    <row r="6" customFormat="false" ht="15" hidden="false" customHeight="true" outlineLevel="0" collapsed="false">
      <c r="A6" s="15" t="s">
        <v>135</v>
      </c>
      <c r="B6" s="26" t="n">
        <v>6999</v>
      </c>
      <c r="C6" s="26" t="n">
        <v>6519</v>
      </c>
      <c r="D6" s="26" t="n">
        <v>6424</v>
      </c>
      <c r="E6" s="27" t="n">
        <v>6683</v>
      </c>
      <c r="F6" s="26" t="n">
        <v>6345</v>
      </c>
      <c r="G6" s="26" t="n">
        <v>6003</v>
      </c>
      <c r="H6" s="26" t="n">
        <v>5184</v>
      </c>
      <c r="I6" s="26" t="n">
        <v>6190</v>
      </c>
      <c r="J6" s="18" t="s">
        <v>136</v>
      </c>
    </row>
    <row r="7" customFormat="false" ht="15" hidden="false" customHeight="true" outlineLevel="0" collapsed="false">
      <c r="A7" s="19" t="s">
        <v>122</v>
      </c>
      <c r="B7" s="21" t="n">
        <f aca="false">B5-B6</f>
        <v>-654</v>
      </c>
      <c r="C7" s="21" t="n">
        <f aca="false">C5-C6</f>
        <v>-516</v>
      </c>
      <c r="D7" s="21" t="n">
        <f aca="false">D5-D6</f>
        <v>-1240</v>
      </c>
      <c r="E7" s="21" t="n">
        <f aca="false">E5-E6</f>
        <v>-493</v>
      </c>
      <c r="F7" s="21" t="n">
        <f aca="false">F5-F6</f>
        <v>415</v>
      </c>
      <c r="G7" s="21" t="n">
        <f aca="false">G5-G6</f>
        <v>923</v>
      </c>
      <c r="H7" s="21" t="n">
        <f aca="false">H5-H6</f>
        <v>1977</v>
      </c>
      <c r="I7" s="21" t="n">
        <f aca="false">I5-I6</f>
        <v>2156</v>
      </c>
      <c r="J7" s="17" t="s">
        <v>46</v>
      </c>
    </row>
    <row r="8" customFormat="false" ht="15" hidden="false" customHeight="true" outlineLevel="0" collapsed="false">
      <c r="A8" s="15" t="s">
        <v>137</v>
      </c>
      <c r="B8" s="26" t="n">
        <v>-458</v>
      </c>
      <c r="C8" s="26" t="n">
        <v>-227</v>
      </c>
      <c r="D8" s="26" t="n">
        <v>-820</v>
      </c>
      <c r="E8" s="26" t="n">
        <v>-83</v>
      </c>
      <c r="F8" s="26" t="n">
        <v>568</v>
      </c>
      <c r="G8" s="26" t="n">
        <v>903</v>
      </c>
      <c r="H8" s="26" t="n">
        <v>1459</v>
      </c>
      <c r="I8" s="26" t="n">
        <v>1755</v>
      </c>
      <c r="J8" s="18" t="s">
        <v>66</v>
      </c>
    </row>
    <row r="9" customFormat="false" ht="15" hidden="false" customHeight="true" outlineLevel="0" collapsed="false">
      <c r="A9" s="15" t="s">
        <v>125</v>
      </c>
      <c r="B9" s="26" t="n">
        <v>-147</v>
      </c>
      <c r="C9" s="26" t="n">
        <v>-300</v>
      </c>
      <c r="D9" s="26" t="n">
        <v>-355</v>
      </c>
      <c r="E9" s="26" t="n">
        <v>-459</v>
      </c>
      <c r="F9" s="26" t="n">
        <v>-262</v>
      </c>
      <c r="G9" s="26" t="n">
        <v>-60</v>
      </c>
      <c r="H9" s="26" t="n">
        <v>356</v>
      </c>
      <c r="I9" s="26" t="n">
        <v>309</v>
      </c>
      <c r="J9" s="18" t="s">
        <v>66</v>
      </c>
    </row>
    <row r="10" customFormat="false" ht="15" hidden="false" customHeight="true" outlineLevel="0" collapsed="false">
      <c r="A10" s="15" t="s">
        <v>126</v>
      </c>
      <c r="B10" s="26" t="n">
        <v>-64</v>
      </c>
      <c r="C10" s="26" t="n">
        <v>-2</v>
      </c>
      <c r="D10" s="26" t="n">
        <v>-98</v>
      </c>
      <c r="E10" s="26" t="n">
        <v>9</v>
      </c>
      <c r="F10" s="26" t="n">
        <v>69</v>
      </c>
      <c r="G10" s="26" t="n">
        <v>44</v>
      </c>
      <c r="H10" s="26" t="n">
        <v>143</v>
      </c>
      <c r="I10" s="26" t="n">
        <v>74</v>
      </c>
      <c r="J10" s="18" t="s">
        <v>66</v>
      </c>
    </row>
    <row r="11" customFormat="false" ht="15" hidden="false" customHeight="true" outlineLevel="0" collapsed="false">
      <c r="A11" s="15" t="s">
        <v>138</v>
      </c>
      <c r="B11" s="26" t="n">
        <v>15</v>
      </c>
      <c r="C11" s="26" t="n">
        <v>13</v>
      </c>
      <c r="D11" s="26" t="n">
        <v>33</v>
      </c>
      <c r="E11" s="26" t="n">
        <v>40</v>
      </c>
      <c r="F11" s="26" t="n">
        <v>40</v>
      </c>
      <c r="G11" s="26" t="n">
        <v>36</v>
      </c>
      <c r="H11" s="26" t="n">
        <v>19</v>
      </c>
      <c r="I11" s="26" t="n">
        <v>18</v>
      </c>
      <c r="J11" s="18" t="s">
        <v>66</v>
      </c>
    </row>
    <row r="12" customFormat="false" ht="15" hidden="false" customHeight="true" outlineLevel="0" collapsed="false">
      <c r="A12" s="19" t="s">
        <v>128</v>
      </c>
      <c r="B12" s="21" t="n">
        <f aca="false">SUM(B8:B11)</f>
        <v>-654</v>
      </c>
      <c r="C12" s="21" t="n">
        <f aca="false">SUM(C8:C11)</f>
        <v>-516</v>
      </c>
      <c r="D12" s="21" t="n">
        <f aca="false">SUM(D8:D11)</f>
        <v>-1240</v>
      </c>
      <c r="E12" s="21" t="n">
        <f aca="false">SUM(E8:E11)</f>
        <v>-493</v>
      </c>
      <c r="F12" s="21" t="n">
        <f aca="false">SUM(F8:F11)</f>
        <v>415</v>
      </c>
      <c r="G12" s="21" t="n">
        <f aca="false">SUM(G8:G11)</f>
        <v>923</v>
      </c>
      <c r="H12" s="21" t="n">
        <f aca="false">SUM(H8:H11)</f>
        <v>1977</v>
      </c>
      <c r="I12" s="21" t="n">
        <f aca="false">SUM(I8:I11)</f>
        <v>2156</v>
      </c>
      <c r="J12" s="17" t="s">
        <v>46</v>
      </c>
    </row>
    <row r="13" customFormat="false" ht="15" hidden="false" customHeight="true" outlineLevel="0" collapsed="false">
      <c r="A13" s="19" t="s">
        <v>129</v>
      </c>
      <c r="B13" s="21" t="n">
        <f aca="false">B7-B12</f>
        <v>0</v>
      </c>
      <c r="C13" s="21" t="n">
        <f aca="false">C7-C12</f>
        <v>0</v>
      </c>
      <c r="D13" s="21" t="n">
        <f aca="false">D7-D12</f>
        <v>0</v>
      </c>
      <c r="E13" s="21" t="n">
        <f aca="false">E7-E12</f>
        <v>0</v>
      </c>
      <c r="F13" s="21" t="n">
        <f aca="false">F7-F12</f>
        <v>0</v>
      </c>
      <c r="G13" s="21" t="n">
        <f aca="false">G7-G12</f>
        <v>0</v>
      </c>
      <c r="H13" s="21" t="n">
        <f aca="false">H7-H12</f>
        <v>0</v>
      </c>
      <c r="I13" s="21" t="n">
        <f aca="false">I7-I12</f>
        <v>0</v>
      </c>
      <c r="J13" s="17" t="s">
        <v>46</v>
      </c>
    </row>
    <row r="14" customFormat="false" ht="15" hidden="false" customHeight="true" outlineLevel="0" collapsed="false">
      <c r="A14" s="15" t="s">
        <v>139</v>
      </c>
      <c r="B14" s="26" t="n">
        <v>1486</v>
      </c>
      <c r="C14" s="26" t="n">
        <v>1174</v>
      </c>
      <c r="D14" s="26" t="n">
        <v>1024</v>
      </c>
      <c r="E14" s="26" t="n">
        <v>1244</v>
      </c>
      <c r="F14" s="26" t="n">
        <v>1377</v>
      </c>
      <c r="G14" s="26" t="n">
        <v>1030</v>
      </c>
      <c r="H14" s="26" t="n">
        <v>1535</v>
      </c>
      <c r="I14" s="26" t="n">
        <v>1947</v>
      </c>
      <c r="J14" s="18" t="s">
        <v>66</v>
      </c>
    </row>
    <row r="15" customFormat="false" ht="15" hidden="false" customHeight="true" outlineLevel="0" collapsed="false">
      <c r="A15" s="15" t="s">
        <v>140</v>
      </c>
      <c r="B15" s="23" t="n">
        <v>0.234</v>
      </c>
      <c r="C15" s="23" t="n">
        <v>0.196</v>
      </c>
      <c r="D15" s="23" t="n">
        <v>0.198</v>
      </c>
      <c r="E15" s="23" t="n">
        <v>0.201</v>
      </c>
      <c r="F15" s="23" t="n">
        <v>0.204</v>
      </c>
      <c r="G15" s="23" t="n">
        <v>0.149</v>
      </c>
      <c r="H15" s="23" t="n">
        <v>0.214</v>
      </c>
      <c r="I15" s="23" t="n">
        <v>0.233</v>
      </c>
      <c r="J15" s="18" t="s">
        <v>66</v>
      </c>
    </row>
    <row r="17" customFormat="false" ht="15" hidden="false" customHeight="true" outlineLevel="0" collapsed="false">
      <c r="A17" s="37" t="s">
        <v>141</v>
      </c>
    </row>
    <row r="19" customFormat="false" ht="15" hidden="false" customHeight="true" outlineLevel="0" collapsed="false">
      <c r="A19" s="31" t="s">
        <v>142</v>
      </c>
    </row>
    <row r="20" customFormat="false" ht="15" hidden="false" customHeight="true" outlineLevel="0" collapsed="false">
      <c r="A20" s="32" t="s">
        <v>143</v>
      </c>
    </row>
    <row r="21" customFormat="false" ht="15" hidden="false" customHeight="true" outlineLevel="0" collapsed="false">
      <c r="A21" s="15" t="s">
        <v>144</v>
      </c>
      <c r="G21" s="21" t="n">
        <v>322</v>
      </c>
      <c r="H21" s="21" t="n">
        <v>505</v>
      </c>
      <c r="I21" s="39"/>
    </row>
    <row r="22" customFormat="false" ht="15" hidden="false" customHeight="true" outlineLevel="0" collapsed="false">
      <c r="A22" s="15" t="s">
        <v>125</v>
      </c>
      <c r="G22" s="21" t="n">
        <v>-60</v>
      </c>
      <c r="H22" s="21" t="n">
        <v>356</v>
      </c>
      <c r="I22" s="39"/>
    </row>
    <row r="23" customFormat="false" ht="15" hidden="false" customHeight="true" outlineLevel="0" collapsed="false">
      <c r="A23" s="15" t="s">
        <v>145</v>
      </c>
      <c r="G23" s="21" t="n">
        <v>-420</v>
      </c>
      <c r="H23" s="21" t="n">
        <v>-362</v>
      </c>
      <c r="I23" s="40" t="s">
        <v>146</v>
      </c>
    </row>
    <row r="24" customFormat="false" ht="15" hidden="false" customHeight="true" outlineLevel="0" collapsed="false">
      <c r="A24" s="15" t="s">
        <v>147</v>
      </c>
      <c r="G24" s="39" t="n">
        <f aca="false">SUM(G21:G23)</f>
        <v>-158</v>
      </c>
      <c r="H24" s="39" t="n">
        <f aca="false">SUM(H21:H23)</f>
        <v>499</v>
      </c>
      <c r="I24" s="39"/>
    </row>
    <row r="25" customFormat="false" ht="15" hidden="false" customHeight="true" outlineLevel="0" collapsed="false">
      <c r="A25" s="15" t="s">
        <v>148</v>
      </c>
      <c r="G25" s="39" t="n">
        <f aca="false">G14-C14</f>
        <v>-144</v>
      </c>
      <c r="H25" s="39" t="n">
        <f aca="false">H14-D14</f>
        <v>511</v>
      </c>
      <c r="I25" s="39" t="n">
        <f aca="false">I14-E14</f>
        <v>703</v>
      </c>
    </row>
    <row r="26" customFormat="false" ht="15" hidden="false" customHeight="true" outlineLevel="0" collapsed="false">
      <c r="A26" s="15" t="s">
        <v>149</v>
      </c>
      <c r="G26" s="39" t="n">
        <f aca="false">G25-G24</f>
        <v>14</v>
      </c>
      <c r="H26" s="39" t="n">
        <f aca="false">H25-H24</f>
        <v>12</v>
      </c>
      <c r="I26" s="39" t="n">
        <f aca="false">I25</f>
        <v>703</v>
      </c>
    </row>
    <row r="28" customFormat="false" ht="57.75" hidden="false" customHeight="true" outlineLevel="0" collapsed="false">
      <c r="A28" s="29" t="s">
        <v>150</v>
      </c>
    </row>
    <row r="29" customFormat="false" ht="42" hidden="false" customHeight="true" outlineLevel="0" collapsed="false">
      <c r="A29" s="41"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12"/>
    <col collapsed="false" customWidth="true" hidden="false" outlineLevel="0" max="10" min="10" style="1" width="14"/>
  </cols>
  <sheetData>
    <row r="1" customFormat="false" ht="15" hidden="false" customHeight="true" outlineLevel="0" collapsed="false">
      <c r="A1" s="11" t="s">
        <v>152</v>
      </c>
    </row>
    <row r="2" customFormat="false" ht="15" hidden="false" customHeight="true" outlineLevel="0" collapsed="false">
      <c r="A2" s="22" t="s">
        <v>153</v>
      </c>
    </row>
    <row r="4" customFormat="false" ht="27.75" hidden="false" customHeight="true" outlineLevel="0" collapsed="false">
      <c r="A4" s="14" t="s">
        <v>119</v>
      </c>
      <c r="B4" s="14" t="s">
        <v>36</v>
      </c>
      <c r="C4" s="14" t="s">
        <v>37</v>
      </c>
      <c r="D4" s="14" t="s">
        <v>38</v>
      </c>
      <c r="E4" s="14" t="s">
        <v>39</v>
      </c>
      <c r="F4" s="14" t="s">
        <v>40</v>
      </c>
      <c r="G4" s="14" t="s">
        <v>41</v>
      </c>
      <c r="H4" s="14" t="s">
        <v>42</v>
      </c>
      <c r="I4" s="14" t="s">
        <v>43</v>
      </c>
      <c r="J4" s="14" t="s">
        <v>44</v>
      </c>
    </row>
    <row r="5" customFormat="false" ht="15" hidden="false" customHeight="true" outlineLevel="0" collapsed="false">
      <c r="A5" s="15" t="s">
        <v>154</v>
      </c>
      <c r="B5" s="26" t="n">
        <v>3028</v>
      </c>
      <c r="C5" s="26" t="n">
        <v>2962</v>
      </c>
      <c r="D5" s="26" t="n">
        <v>2884</v>
      </c>
      <c r="E5" s="26" t="n">
        <v>3087</v>
      </c>
      <c r="F5" s="26" t="n">
        <v>3110</v>
      </c>
      <c r="G5" s="26" t="n">
        <v>3353</v>
      </c>
      <c r="H5" s="42" t="n">
        <v>3797</v>
      </c>
      <c r="I5" s="42" t="n">
        <v>4648</v>
      </c>
      <c r="J5" s="18" t="s">
        <v>66</v>
      </c>
    </row>
    <row r="6" customFormat="false" ht="15" hidden="false" customHeight="true" outlineLevel="0" collapsed="false">
      <c r="A6" s="15" t="s">
        <v>155</v>
      </c>
      <c r="B6" s="26" t="n">
        <v>3351</v>
      </c>
      <c r="C6" s="26" t="n">
        <v>3242</v>
      </c>
      <c r="D6" s="26" t="n">
        <v>3193</v>
      </c>
      <c r="E6" s="27" t="n">
        <v>3206</v>
      </c>
      <c r="F6" s="26" t="n">
        <v>3048</v>
      </c>
      <c r="G6" s="26" t="n">
        <v>2980</v>
      </c>
      <c r="H6" s="42" t="n">
        <v>3661</v>
      </c>
      <c r="I6" s="42" t="n">
        <v>3886</v>
      </c>
      <c r="J6" s="18" t="s">
        <v>136</v>
      </c>
    </row>
    <row r="7" customFormat="false" ht="15" hidden="false" customHeight="true" outlineLevel="0" collapsed="false">
      <c r="A7" s="19" t="s">
        <v>122</v>
      </c>
      <c r="B7" s="21" t="n">
        <f aca="false">B5-B6</f>
        <v>-323</v>
      </c>
      <c r="C7" s="21" t="n">
        <f aca="false">C5-C6</f>
        <v>-280</v>
      </c>
      <c r="D7" s="21" t="n">
        <f aca="false">D5-D6</f>
        <v>-309</v>
      </c>
      <c r="E7" s="21" t="n">
        <f aca="false">E5-E6</f>
        <v>-119</v>
      </c>
      <c r="F7" s="21" t="n">
        <f aca="false">F5-F6</f>
        <v>62</v>
      </c>
      <c r="G7" s="21" t="n">
        <f aca="false">G5-G6</f>
        <v>373</v>
      </c>
      <c r="H7" s="43" t="n">
        <f aca="false">H5-H6</f>
        <v>136</v>
      </c>
      <c r="I7" s="43" t="n">
        <f aca="false">I5-I6</f>
        <v>762</v>
      </c>
      <c r="J7" s="17" t="s">
        <v>46</v>
      </c>
    </row>
    <row r="8" customFormat="false" ht="15" hidden="false" customHeight="true" outlineLevel="0" collapsed="false">
      <c r="A8" s="15" t="s">
        <v>137</v>
      </c>
      <c r="B8" s="26" t="n">
        <v>-352</v>
      </c>
      <c r="C8" s="26" t="n">
        <v>-316</v>
      </c>
      <c r="D8" s="26" t="n">
        <v>-179</v>
      </c>
      <c r="E8" s="26" t="n">
        <v>-13</v>
      </c>
      <c r="F8" s="26" t="n">
        <v>138</v>
      </c>
      <c r="G8" s="26" t="n">
        <v>459</v>
      </c>
      <c r="H8" s="42" t="n">
        <v>85</v>
      </c>
      <c r="I8" s="42" t="n">
        <v>639</v>
      </c>
      <c r="J8" s="18" t="s">
        <v>66</v>
      </c>
    </row>
    <row r="9" customFormat="false" ht="15" hidden="false" customHeight="true" outlineLevel="0" collapsed="false">
      <c r="A9" s="15" t="s">
        <v>125</v>
      </c>
      <c r="B9" s="26" t="n">
        <v>38</v>
      </c>
      <c r="C9" s="26" t="n">
        <v>26</v>
      </c>
      <c r="D9" s="26" t="n">
        <v>-50</v>
      </c>
      <c r="E9" s="26" t="n">
        <v>-94</v>
      </c>
      <c r="F9" s="26" t="n">
        <v>-61</v>
      </c>
      <c r="G9" s="26" t="n">
        <v>-67</v>
      </c>
      <c r="H9" s="42" t="n">
        <v>-39</v>
      </c>
      <c r="I9" s="42" t="n">
        <v>75</v>
      </c>
      <c r="J9" s="18" t="s">
        <v>66</v>
      </c>
    </row>
    <row r="10" customFormat="false" ht="15" hidden="false" customHeight="true" outlineLevel="0" collapsed="false">
      <c r="A10" s="15" t="s">
        <v>126</v>
      </c>
      <c r="B10" s="26" t="n">
        <v>-11</v>
      </c>
      <c r="C10" s="26" t="n">
        <v>3</v>
      </c>
      <c r="D10" s="26" t="n">
        <v>-46</v>
      </c>
      <c r="E10" s="26" t="n">
        <v>-11</v>
      </c>
      <c r="F10" s="26" t="n">
        <v>4</v>
      </c>
      <c r="G10" s="26" t="n">
        <v>7</v>
      </c>
      <c r="H10" s="42" t="n">
        <v>78</v>
      </c>
      <c r="I10" s="42" t="n">
        <v>65</v>
      </c>
      <c r="J10" s="18" t="s">
        <v>66</v>
      </c>
    </row>
    <row r="11" customFormat="false" ht="15" hidden="false" customHeight="true" outlineLevel="0" collapsed="false">
      <c r="A11" s="15" t="s">
        <v>138</v>
      </c>
      <c r="B11" s="26" t="n">
        <v>2</v>
      </c>
      <c r="C11" s="26" t="n">
        <v>7</v>
      </c>
      <c r="D11" s="26" t="n">
        <v>-34</v>
      </c>
      <c r="E11" s="26" t="n">
        <v>-1</v>
      </c>
      <c r="F11" s="26" t="n">
        <v>-19</v>
      </c>
      <c r="G11" s="26" t="n">
        <v>-26</v>
      </c>
      <c r="H11" s="42" t="n">
        <v>12</v>
      </c>
      <c r="I11" s="42" t="n">
        <v>-17</v>
      </c>
      <c r="J11" s="18" t="s">
        <v>66</v>
      </c>
    </row>
    <row r="12" customFormat="false" ht="15" hidden="false" customHeight="true" outlineLevel="0" collapsed="false">
      <c r="A12" s="19" t="s">
        <v>128</v>
      </c>
      <c r="B12" s="21" t="n">
        <f aca="false">SUM(B8:B11)</f>
        <v>-323</v>
      </c>
      <c r="C12" s="21" t="n">
        <f aca="false">SUM(C8:C11)</f>
        <v>-280</v>
      </c>
      <c r="D12" s="21" t="n">
        <f aca="false">SUM(D8:D11)</f>
        <v>-309</v>
      </c>
      <c r="E12" s="21" t="n">
        <f aca="false">SUM(E8:E11)</f>
        <v>-119</v>
      </c>
      <c r="F12" s="21" t="n">
        <f aca="false">SUM(F8:F11)</f>
        <v>62</v>
      </c>
      <c r="G12" s="21" t="n">
        <f aca="false">SUM(G8:G11)</f>
        <v>373</v>
      </c>
      <c r="H12" s="43" t="n">
        <f aca="false">SUM(H8:H11)</f>
        <v>136</v>
      </c>
      <c r="I12" s="43" t="n">
        <f aca="false">SUM(I8:I11)</f>
        <v>762</v>
      </c>
      <c r="J12" s="17" t="s">
        <v>46</v>
      </c>
    </row>
    <row r="13" customFormat="false" ht="15" hidden="false" customHeight="true" outlineLevel="0" collapsed="false">
      <c r="A13" s="19" t="s">
        <v>129</v>
      </c>
      <c r="B13" s="21" t="n">
        <f aca="false">B7-B12</f>
        <v>0</v>
      </c>
      <c r="C13" s="21" t="n">
        <f aca="false">C7-C12</f>
        <v>0</v>
      </c>
      <c r="D13" s="21" t="n">
        <f aca="false">D7-D12</f>
        <v>0</v>
      </c>
      <c r="E13" s="21" t="n">
        <f aca="false">E7-E12</f>
        <v>0</v>
      </c>
      <c r="F13" s="21" t="n">
        <f aca="false">F7-F12</f>
        <v>0</v>
      </c>
      <c r="G13" s="21" t="n">
        <f aca="false">G7-G12</f>
        <v>0</v>
      </c>
      <c r="H13" s="43" t="n">
        <f aca="false">H7-H12</f>
        <v>0</v>
      </c>
      <c r="I13" s="43" t="n">
        <f aca="false">I7-I12</f>
        <v>0</v>
      </c>
      <c r="J13" s="17" t="s">
        <v>46</v>
      </c>
    </row>
    <row r="14" customFormat="false" ht="15" hidden="false" customHeight="true" outlineLevel="0" collapsed="false">
      <c r="A14" s="15" t="s">
        <v>139</v>
      </c>
      <c r="B14" s="26" t="n">
        <v>619</v>
      </c>
      <c r="C14" s="26" t="n">
        <v>466</v>
      </c>
      <c r="D14" s="26" t="n">
        <v>599</v>
      </c>
      <c r="E14" s="26" t="n">
        <v>537</v>
      </c>
      <c r="F14" s="26" t="n">
        <v>499</v>
      </c>
      <c r="G14" s="26" t="n">
        <v>360</v>
      </c>
      <c r="H14" s="42" t="n">
        <v>378</v>
      </c>
      <c r="I14" s="42" t="n">
        <v>693</v>
      </c>
      <c r="J14" s="18" t="s">
        <v>66</v>
      </c>
    </row>
    <row r="15" customFormat="false" ht="15" hidden="false" customHeight="true" outlineLevel="0" collapsed="false">
      <c r="A15" s="15" t="s">
        <v>140</v>
      </c>
      <c r="B15" s="23" t="n">
        <v>0.204</v>
      </c>
      <c r="C15" s="23" t="n">
        <v>0.157</v>
      </c>
      <c r="D15" s="23" t="n">
        <v>0.208</v>
      </c>
      <c r="E15" s="23" t="n">
        <v>0.174</v>
      </c>
      <c r="F15" s="23" t="n">
        <v>0.16</v>
      </c>
      <c r="G15" s="23" t="n">
        <v>0.107</v>
      </c>
      <c r="H15" s="44" t="n">
        <v>0.1</v>
      </c>
      <c r="I15" s="44" t="n">
        <v>0.149</v>
      </c>
      <c r="J15" s="18" t="s">
        <v>66</v>
      </c>
    </row>
    <row r="17" customFormat="false" ht="15" hidden="false" customHeight="true" outlineLevel="0" collapsed="false">
      <c r="A17" s="22" t="s">
        <v>156</v>
      </c>
    </row>
    <row r="18" customFormat="false" ht="15" hidden="false" customHeight="true" outlineLevel="0" collapsed="false">
      <c r="A18" s="37" t="s">
        <v>157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12"/>
    <col collapsed="false" customWidth="true" hidden="false" outlineLevel="0" max="10" min="10" style="1" width="14"/>
  </cols>
  <sheetData>
    <row r="1" customFormat="false" ht="15" hidden="false" customHeight="true" outlineLevel="0" collapsed="false">
      <c r="A1" s="11" t="s">
        <v>158</v>
      </c>
    </row>
    <row r="2" customFormat="false" ht="15" hidden="false" customHeight="true" outlineLevel="0" collapsed="false">
      <c r="A2" s="22" t="s">
        <v>159</v>
      </c>
    </row>
    <row r="4" customFormat="false" ht="27.75" hidden="false" customHeight="true" outlineLevel="0" collapsed="false">
      <c r="A4" s="14" t="s">
        <v>119</v>
      </c>
      <c r="B4" s="14" t="s">
        <v>36</v>
      </c>
      <c r="C4" s="14" t="s">
        <v>37</v>
      </c>
      <c r="D4" s="14" t="s">
        <v>38</v>
      </c>
      <c r="E4" s="14" t="s">
        <v>39</v>
      </c>
      <c r="F4" s="14" t="s">
        <v>40</v>
      </c>
      <c r="G4" s="14" t="s">
        <v>41</v>
      </c>
      <c r="H4" s="14" t="s">
        <v>42</v>
      </c>
      <c r="I4" s="14" t="s">
        <v>43</v>
      </c>
      <c r="J4" s="14" t="s">
        <v>44</v>
      </c>
    </row>
    <row r="5" customFormat="false" ht="15" hidden="false" customHeight="true" outlineLevel="0" collapsed="false">
      <c r="A5" s="15" t="s">
        <v>160</v>
      </c>
      <c r="B5" s="45" t="s">
        <v>161</v>
      </c>
      <c r="C5" s="45" t="s">
        <v>161</v>
      </c>
      <c r="D5" s="45" t="s">
        <v>161</v>
      </c>
      <c r="E5" s="45" t="s">
        <v>161</v>
      </c>
      <c r="F5" s="45" t="s">
        <v>161</v>
      </c>
      <c r="G5" s="45" t="s">
        <v>162</v>
      </c>
      <c r="H5" s="46" t="s">
        <v>162</v>
      </c>
      <c r="I5" s="46" t="s">
        <v>162</v>
      </c>
      <c r="J5" s="18" t="s">
        <v>66</v>
      </c>
    </row>
    <row r="6" customFormat="false" ht="15" hidden="false" customHeight="true" outlineLevel="0" collapsed="false">
      <c r="A6" s="15" t="s">
        <v>134</v>
      </c>
      <c r="B6" s="26" t="n">
        <v>7187</v>
      </c>
      <c r="C6" s="26" t="n">
        <v>7649</v>
      </c>
      <c r="D6" s="26" t="n">
        <v>6568</v>
      </c>
      <c r="E6" s="26" t="n">
        <v>7836</v>
      </c>
      <c r="F6" s="26" t="n">
        <v>8397</v>
      </c>
      <c r="G6" s="26" t="n">
        <v>9400</v>
      </c>
      <c r="H6" s="42" t="n">
        <v>7031</v>
      </c>
      <c r="I6" s="42" t="n">
        <v>8238</v>
      </c>
      <c r="J6" s="18" t="s">
        <v>66</v>
      </c>
    </row>
    <row r="7" customFormat="false" ht="15" hidden="false" customHeight="true" outlineLevel="0" collapsed="false">
      <c r="A7" s="15" t="s">
        <v>155</v>
      </c>
      <c r="B7" s="26" t="n">
        <v>6859</v>
      </c>
      <c r="C7" s="26" t="n">
        <v>7669</v>
      </c>
      <c r="D7" s="26" t="n">
        <v>6681</v>
      </c>
      <c r="E7" s="27" t="n">
        <v>7337</v>
      </c>
      <c r="F7" s="26" t="n">
        <v>7187</v>
      </c>
      <c r="G7" s="26" t="n">
        <v>7649</v>
      </c>
      <c r="H7" s="42" t="n">
        <v>5783</v>
      </c>
      <c r="I7" s="42" t="n">
        <v>7037</v>
      </c>
      <c r="J7" s="18" t="s">
        <v>163</v>
      </c>
    </row>
    <row r="8" customFormat="false" ht="15" hidden="false" customHeight="true" outlineLevel="0" collapsed="false">
      <c r="A8" s="19" t="s">
        <v>122</v>
      </c>
      <c r="B8" s="21" t="n">
        <f aca="false">B6-B7</f>
        <v>328</v>
      </c>
      <c r="C8" s="21" t="n">
        <f aca="false">C6-C7</f>
        <v>-20</v>
      </c>
      <c r="D8" s="21" t="n">
        <f aca="false">D6-D7</f>
        <v>-113</v>
      </c>
      <c r="E8" s="21" t="n">
        <f aca="false">E6-E7</f>
        <v>499</v>
      </c>
      <c r="F8" s="21" t="n">
        <f aca="false">F6-F7</f>
        <v>1210</v>
      </c>
      <c r="G8" s="21" t="n">
        <f aca="false">G6-G7</f>
        <v>1751</v>
      </c>
      <c r="H8" s="43" t="n">
        <f aca="false">H6-H7</f>
        <v>1248</v>
      </c>
      <c r="I8" s="43" t="n">
        <f aca="false">I6-I7</f>
        <v>1201</v>
      </c>
      <c r="J8" s="17" t="s">
        <v>46</v>
      </c>
    </row>
    <row r="9" customFormat="false" ht="15" hidden="false" customHeight="true" outlineLevel="0" collapsed="false">
      <c r="A9" s="15" t="s">
        <v>137</v>
      </c>
      <c r="B9" s="26" t="n">
        <v>57</v>
      </c>
      <c r="C9" s="26" t="n">
        <v>-301</v>
      </c>
      <c r="D9" s="26" t="n">
        <v>-175</v>
      </c>
      <c r="E9" s="26" t="n">
        <v>326</v>
      </c>
      <c r="F9" s="26" t="n">
        <v>870</v>
      </c>
      <c r="G9" s="26" t="n">
        <v>1380</v>
      </c>
      <c r="H9" s="42" t="n">
        <v>840</v>
      </c>
      <c r="I9" s="42" t="n">
        <v>736</v>
      </c>
      <c r="J9" s="18" t="s">
        <v>66</v>
      </c>
    </row>
    <row r="10" customFormat="false" ht="15" hidden="false" customHeight="true" outlineLevel="0" collapsed="false">
      <c r="A10" s="15" t="s">
        <v>125</v>
      </c>
      <c r="B10" s="26" t="n">
        <v>213</v>
      </c>
      <c r="C10" s="26" t="n">
        <v>221</v>
      </c>
      <c r="D10" s="26" t="n">
        <v>155</v>
      </c>
      <c r="E10" s="26" t="n">
        <v>139</v>
      </c>
      <c r="F10" s="26" t="n">
        <v>132</v>
      </c>
      <c r="G10" s="26" t="n">
        <v>166</v>
      </c>
      <c r="H10" s="42" t="n">
        <v>108</v>
      </c>
      <c r="I10" s="42" t="n">
        <v>212</v>
      </c>
      <c r="J10" s="18" t="s">
        <v>66</v>
      </c>
    </row>
    <row r="11" customFormat="false" ht="15" hidden="false" customHeight="true" outlineLevel="0" collapsed="false">
      <c r="A11" s="15" t="s">
        <v>126</v>
      </c>
      <c r="B11" s="26" t="n">
        <v>-20</v>
      </c>
      <c r="C11" s="26" t="n">
        <v>8</v>
      </c>
      <c r="D11" s="26" t="n">
        <v>-69</v>
      </c>
      <c r="E11" s="26" t="n">
        <v>15</v>
      </c>
      <c r="F11" s="26" t="n">
        <v>52</v>
      </c>
      <c r="G11" s="26" t="n">
        <v>64</v>
      </c>
      <c r="H11" s="42" t="n">
        <v>111</v>
      </c>
      <c r="I11" s="42" t="n">
        <v>53</v>
      </c>
      <c r="J11" s="18" t="s">
        <v>66</v>
      </c>
    </row>
    <row r="12" customFormat="false" ht="15" hidden="false" customHeight="true" outlineLevel="0" collapsed="false">
      <c r="A12" s="15" t="s">
        <v>138</v>
      </c>
      <c r="B12" s="26" t="n">
        <v>78</v>
      </c>
      <c r="C12" s="26" t="n">
        <v>52</v>
      </c>
      <c r="D12" s="26" t="n">
        <v>-24</v>
      </c>
      <c r="E12" s="26" t="n">
        <v>19</v>
      </c>
      <c r="F12" s="26" t="n">
        <v>156</v>
      </c>
      <c r="G12" s="26" t="n">
        <v>141</v>
      </c>
      <c r="H12" s="42" t="n">
        <v>189</v>
      </c>
      <c r="I12" s="42" t="n">
        <v>200</v>
      </c>
      <c r="J12" s="18" t="s">
        <v>66</v>
      </c>
    </row>
    <row r="13" customFormat="false" ht="15" hidden="false" customHeight="true" outlineLevel="0" collapsed="false">
      <c r="A13" s="19" t="s">
        <v>128</v>
      </c>
      <c r="B13" s="21" t="n">
        <f aca="false">SUM(B9:B12)</f>
        <v>328</v>
      </c>
      <c r="C13" s="21" t="n">
        <f aca="false">SUM(C9:C12)</f>
        <v>-20</v>
      </c>
      <c r="D13" s="21" t="n">
        <f aca="false">SUM(D9:D12)</f>
        <v>-113</v>
      </c>
      <c r="E13" s="21" t="n">
        <f aca="false">SUM(E9:E12)</f>
        <v>499</v>
      </c>
      <c r="F13" s="21" t="n">
        <f aca="false">SUM(F9:F12)</f>
        <v>1210</v>
      </c>
      <c r="G13" s="21" t="n">
        <f aca="false">SUM(G9:G12)</f>
        <v>1751</v>
      </c>
      <c r="H13" s="43" t="n">
        <f aca="false">SUM(H9:H12)</f>
        <v>1248</v>
      </c>
      <c r="I13" s="43" t="n">
        <f aca="false">SUM(I9:I12)</f>
        <v>1201</v>
      </c>
      <c r="J13" s="17" t="s">
        <v>46</v>
      </c>
    </row>
    <row r="14" customFormat="false" ht="15" hidden="false" customHeight="true" outlineLevel="0" collapsed="false">
      <c r="A14" s="19" t="s">
        <v>129</v>
      </c>
      <c r="B14" s="21" t="n">
        <f aca="false">B8-B13</f>
        <v>0</v>
      </c>
      <c r="C14" s="21" t="n">
        <f aca="false">C8-C13</f>
        <v>0</v>
      </c>
      <c r="D14" s="21" t="n">
        <f aca="false">D8-D13</f>
        <v>0</v>
      </c>
      <c r="E14" s="21" t="n">
        <f aca="false">E8-E13</f>
        <v>0</v>
      </c>
      <c r="F14" s="21" t="n">
        <f aca="false">F8-F13</f>
        <v>0</v>
      </c>
      <c r="G14" s="21" t="n">
        <f aca="false">G8-G13</f>
        <v>0</v>
      </c>
      <c r="H14" s="43" t="n">
        <f aca="false">H8-H13</f>
        <v>0</v>
      </c>
      <c r="I14" s="43" t="n">
        <f aca="false">I8-I13</f>
        <v>0</v>
      </c>
      <c r="J14" s="17" t="s">
        <v>46</v>
      </c>
    </row>
    <row r="15" customFormat="false" ht="15" hidden="false" customHeight="true" outlineLevel="0" collapsed="false">
      <c r="A15" s="15" t="s">
        <v>139</v>
      </c>
      <c r="B15" s="26" t="n">
        <v>1433</v>
      </c>
      <c r="C15" s="26" t="n">
        <v>1477</v>
      </c>
      <c r="D15" s="26" t="n">
        <v>1314</v>
      </c>
      <c r="E15" s="26" t="n">
        <v>1585</v>
      </c>
      <c r="F15" s="26" t="n">
        <v>1678</v>
      </c>
      <c r="G15" s="26" t="n">
        <v>1841</v>
      </c>
      <c r="H15" s="42" t="n">
        <v>1450</v>
      </c>
      <c r="I15" s="42" t="n">
        <v>2027</v>
      </c>
      <c r="J15" s="18" t="s">
        <v>66</v>
      </c>
    </row>
    <row r="16" customFormat="false" ht="15" hidden="false" customHeight="true" outlineLevel="0" collapsed="false">
      <c r="A16" s="15" t="s">
        <v>140</v>
      </c>
      <c r="B16" s="23" t="n">
        <v>0.199</v>
      </c>
      <c r="C16" s="23" t="n">
        <v>0.193</v>
      </c>
      <c r="D16" s="23" t="n">
        <v>0.2</v>
      </c>
      <c r="E16" s="23" t="n">
        <v>0.202</v>
      </c>
      <c r="F16" s="23" t="n">
        <v>0.2</v>
      </c>
      <c r="G16" s="23" t="n">
        <v>0.196</v>
      </c>
      <c r="H16" s="44" t="n">
        <v>0.206</v>
      </c>
      <c r="I16" s="44" t="n">
        <v>0.246</v>
      </c>
      <c r="J16" s="18" t="s">
        <v>66</v>
      </c>
    </row>
    <row r="18" customFormat="false" ht="15" hidden="false" customHeight="true" outlineLevel="0" collapsed="false">
      <c r="A18" s="22" t="s">
        <v>164</v>
      </c>
    </row>
    <row r="19" customFormat="false" ht="15" hidden="false" customHeight="true" outlineLevel="0" collapsed="false">
      <c r="A19" s="37"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2"/>
    <col collapsed="false" customWidth="true" hidden="false" outlineLevel="0" max="4" min="4" style="1" width="78"/>
    <col collapsed="false" customWidth="true" hidden="false" outlineLevel="0" max="5" min="5" style="1" width="30"/>
    <col collapsed="false" customWidth="true" hidden="false" outlineLevel="0" max="6" min="6" style="1" width="20"/>
    <col collapsed="false" customWidth="true" hidden="false" outlineLevel="0" max="7" min="7" style="1" width="16"/>
    <col collapsed="false" customWidth="true" hidden="false" outlineLevel="0" max="8" min="8" style="1" width="34"/>
    <col collapsed="false" customWidth="true" hidden="false" outlineLevel="0" max="9" min="9" style="1" width="13"/>
  </cols>
  <sheetData>
    <row r="1" customFormat="false" ht="15" hidden="false" customHeight="true" outlineLevel="0" collapsed="false">
      <c r="A1" s="11" t="s">
        <v>166</v>
      </c>
    </row>
    <row r="2" customFormat="false" ht="15" hidden="false" customHeight="true" outlineLevel="0" collapsed="false">
      <c r="A2" s="32" t="s">
        <v>167</v>
      </c>
    </row>
    <row r="3" customFormat="false" ht="27.75" hidden="false" customHeight="true" outlineLevel="0" collapsed="false">
      <c r="A3" s="14" t="s">
        <v>168</v>
      </c>
      <c r="B3" s="14" t="s">
        <v>169</v>
      </c>
      <c r="C3" s="14" t="s">
        <v>170</v>
      </c>
      <c r="D3" s="14" t="s">
        <v>171</v>
      </c>
      <c r="E3" s="14" t="s">
        <v>172</v>
      </c>
      <c r="F3" s="14" t="s">
        <v>44</v>
      </c>
      <c r="G3" s="14" t="s">
        <v>173</v>
      </c>
      <c r="H3" s="14" t="s">
        <v>174</v>
      </c>
    </row>
    <row r="4" customFormat="false" ht="39.75" hidden="false" customHeight="true" outlineLevel="0" collapsed="false">
      <c r="A4" s="19" t="s">
        <v>36</v>
      </c>
      <c r="B4" s="47"/>
      <c r="C4" s="15" t="s">
        <v>175</v>
      </c>
      <c r="D4" s="48" t="s">
        <v>176</v>
      </c>
      <c r="E4" s="12" t="s">
        <v>177</v>
      </c>
      <c r="F4" s="22" t="s">
        <v>178</v>
      </c>
      <c r="G4" s="24"/>
      <c r="H4" s="49" t="s">
        <v>179</v>
      </c>
    </row>
    <row r="5" customFormat="false" ht="39.75" hidden="false" customHeight="true" outlineLevel="0" collapsed="false">
      <c r="A5" s="19" t="s">
        <v>37</v>
      </c>
      <c r="B5" s="26" t="n">
        <v>-1300</v>
      </c>
      <c r="C5" s="15" t="s">
        <v>93</v>
      </c>
      <c r="D5" s="48" t="s">
        <v>180</v>
      </c>
      <c r="E5" s="12" t="s">
        <v>181</v>
      </c>
      <c r="F5" s="18" t="s">
        <v>66</v>
      </c>
      <c r="G5" s="24"/>
      <c r="H5" s="49" t="s">
        <v>179</v>
      </c>
    </row>
    <row r="6" customFormat="false" ht="39.75" hidden="false" customHeight="true" outlineLevel="0" collapsed="false">
      <c r="A6" s="19" t="s">
        <v>38</v>
      </c>
      <c r="B6" s="26" t="n">
        <v>100</v>
      </c>
      <c r="C6" s="15" t="s">
        <v>93</v>
      </c>
      <c r="D6" s="48" t="s">
        <v>182</v>
      </c>
      <c r="E6" s="12" t="s">
        <v>183</v>
      </c>
      <c r="F6" s="18" t="s">
        <v>66</v>
      </c>
      <c r="G6" s="24"/>
      <c r="H6" s="49" t="s">
        <v>179</v>
      </c>
    </row>
    <row r="7" customFormat="false" ht="39.75" hidden="false" customHeight="true" outlineLevel="0" collapsed="false">
      <c r="A7" s="19" t="s">
        <v>39</v>
      </c>
      <c r="B7" s="47"/>
      <c r="C7" s="15" t="s">
        <v>184</v>
      </c>
      <c r="D7" s="48" t="s">
        <v>185</v>
      </c>
      <c r="E7" s="12" t="s">
        <v>186</v>
      </c>
      <c r="F7" s="22" t="s">
        <v>178</v>
      </c>
      <c r="G7" s="24"/>
      <c r="H7" s="49" t="s">
        <v>179</v>
      </c>
    </row>
    <row r="8" customFormat="false" ht="39.75" hidden="false" customHeight="true" outlineLevel="0" collapsed="false">
      <c r="A8" s="19" t="s">
        <v>40</v>
      </c>
      <c r="B8" s="47"/>
      <c r="C8" s="15" t="s">
        <v>184</v>
      </c>
      <c r="D8" s="48" t="s">
        <v>187</v>
      </c>
      <c r="E8" s="12" t="s">
        <v>188</v>
      </c>
      <c r="F8" s="22" t="s">
        <v>178</v>
      </c>
      <c r="G8" s="24"/>
      <c r="H8" s="49" t="s">
        <v>179</v>
      </c>
    </row>
    <row r="9" customFormat="false" ht="39.75" hidden="false" customHeight="true" outlineLevel="0" collapsed="false">
      <c r="A9" s="19" t="s">
        <v>41</v>
      </c>
      <c r="B9" s="26" t="n">
        <v>0</v>
      </c>
      <c r="C9" s="15" t="s">
        <v>93</v>
      </c>
      <c r="D9" s="48" t="s">
        <v>189</v>
      </c>
      <c r="E9" s="12" t="s">
        <v>190</v>
      </c>
      <c r="F9" s="18" t="s">
        <v>66</v>
      </c>
      <c r="G9" s="24"/>
      <c r="H9" s="49" t="s">
        <v>179</v>
      </c>
    </row>
    <row r="10" customFormat="false" ht="69.75" hidden="false" customHeight="true" outlineLevel="0" collapsed="false">
      <c r="A10" s="19" t="s">
        <v>42</v>
      </c>
      <c r="B10" s="47" t="n">
        <v>2000</v>
      </c>
      <c r="C10" s="15" t="s">
        <v>191</v>
      </c>
      <c r="D10" s="48" t="s">
        <v>192</v>
      </c>
      <c r="E10" s="12" t="s">
        <v>193</v>
      </c>
      <c r="F10" s="18" t="s">
        <v>66</v>
      </c>
      <c r="G10" s="21" t="n">
        <v>1500</v>
      </c>
      <c r="H10" s="41" t="s">
        <v>194</v>
      </c>
    </row>
    <row r="11" customFormat="false" ht="69.75" hidden="false" customHeight="true" outlineLevel="0" collapsed="false">
      <c r="A11" s="19" t="s">
        <v>43</v>
      </c>
      <c r="B11" s="47"/>
      <c r="C11" s="15" t="s">
        <v>195</v>
      </c>
      <c r="D11" s="48" t="s">
        <v>196</v>
      </c>
      <c r="E11" s="12" t="s">
        <v>197</v>
      </c>
      <c r="F11" s="18" t="s">
        <v>198</v>
      </c>
      <c r="G11" s="21" t="n">
        <v>400</v>
      </c>
      <c r="H11" s="41" t="s">
        <v>199</v>
      </c>
    </row>
    <row r="13" customFormat="false" ht="15" hidden="false" customHeight="true" outlineLevel="0" collapsed="false">
      <c r="A13" s="22" t="s">
        <v>200</v>
      </c>
    </row>
    <row r="14" customFormat="false" ht="15" hidden="false" customHeight="true" outlineLevel="0" collapsed="false">
      <c r="A14" s="32" t="s">
        <v>201</v>
      </c>
    </row>
    <row r="15" customFormat="false" ht="15" hidden="false" customHeight="true" outlineLevel="0" collapsed="false">
      <c r="A15" s="22"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9" min="2" style="1" width="12"/>
    <col collapsed="false" customWidth="true" hidden="false" outlineLevel="0" max="10" min="10" style="1" width="14"/>
  </cols>
  <sheetData>
    <row r="1" customFormat="false" ht="15" hidden="false" customHeight="true" outlineLevel="0" collapsed="false">
      <c r="A1" s="11" t="s">
        <v>203</v>
      </c>
    </row>
    <row r="2" customFormat="false" ht="15" hidden="false" customHeight="true" outlineLevel="0" collapsed="false">
      <c r="A2" s="50" t="s">
        <v>204</v>
      </c>
    </row>
    <row r="3" customFormat="false" ht="15" hidden="false" customHeight="true" outlineLevel="0" collapsed="false">
      <c r="A3" s="50" t="s">
        <v>205</v>
      </c>
    </row>
    <row r="4" customFormat="false" ht="15" hidden="false" customHeight="true" outlineLevel="0" collapsed="false">
      <c r="A4" s="18" t="s">
        <v>206</v>
      </c>
    </row>
    <row r="5" customFormat="false" ht="15" hidden="false" customHeight="true" outlineLevel="0" collapsed="false">
      <c r="A5" s="15" t="s">
        <v>207</v>
      </c>
    </row>
    <row r="6" customFormat="false" ht="27.75" hidden="false" customHeight="true" outlineLevel="0" collapsed="false">
      <c r="A6" s="14" t="s">
        <v>208</v>
      </c>
      <c r="B6" s="14" t="s">
        <v>36</v>
      </c>
      <c r="C6" s="14" t="s">
        <v>37</v>
      </c>
      <c r="D6" s="14" t="s">
        <v>38</v>
      </c>
      <c r="E6" s="14" t="s">
        <v>39</v>
      </c>
      <c r="F6" s="14" t="s">
        <v>40</v>
      </c>
      <c r="G6" s="14" t="s">
        <v>41</v>
      </c>
      <c r="H6" s="14" t="s">
        <v>42</v>
      </c>
      <c r="I6" s="14" t="s">
        <v>43</v>
      </c>
      <c r="J6" s="14" t="s">
        <v>44</v>
      </c>
    </row>
    <row r="7" customFormat="false" ht="15" hidden="false" customHeight="true" outlineLevel="0" collapsed="false">
      <c r="A7" s="15" t="s">
        <v>209</v>
      </c>
      <c r="B7" s="23" t="n">
        <v>-0.08</v>
      </c>
      <c r="C7" s="23" t="n">
        <v>-0.01</v>
      </c>
      <c r="D7" s="23" t="n">
        <v>0.01</v>
      </c>
      <c r="E7" s="23" t="n">
        <v>0.03</v>
      </c>
      <c r="F7" s="23" t="n">
        <v>0.11</v>
      </c>
      <c r="G7" s="23" t="n">
        <v>0.18</v>
      </c>
      <c r="H7" s="23" t="n">
        <v>0.12</v>
      </c>
      <c r="I7" s="23" t="n">
        <v>0.27</v>
      </c>
      <c r="J7" s="18" t="s">
        <v>66</v>
      </c>
    </row>
    <row r="8" customFormat="false" ht="15" hidden="false" customHeight="true" outlineLevel="0" collapsed="false">
      <c r="A8" s="15" t="s">
        <v>210</v>
      </c>
      <c r="B8" s="23" t="n">
        <v>0.06</v>
      </c>
      <c r="C8" s="23" t="n">
        <v>0.05</v>
      </c>
      <c r="D8" s="23" t="n">
        <v>0.16</v>
      </c>
      <c r="E8" s="23" t="n">
        <v>-0.07</v>
      </c>
      <c r="F8" s="23" t="n">
        <v>0.02</v>
      </c>
      <c r="G8" s="23" t="n">
        <v>0.06</v>
      </c>
      <c r="H8" s="23" t="n">
        <v>0.04</v>
      </c>
      <c r="I8" s="23" t="n">
        <v>0.24</v>
      </c>
      <c r="J8" s="18" t="s">
        <v>66</v>
      </c>
    </row>
    <row r="9" customFormat="false" ht="15" hidden="false" customHeight="true" outlineLevel="0" collapsed="false">
      <c r="A9" s="15" t="s">
        <v>211</v>
      </c>
      <c r="B9" s="23" t="n">
        <v>-0.12</v>
      </c>
      <c r="C9" s="23" t="n">
        <v>-0.08</v>
      </c>
      <c r="D9" s="23" t="n">
        <v>0.04</v>
      </c>
      <c r="E9" s="23" t="n">
        <v>0.05</v>
      </c>
      <c r="F9" s="23" t="n">
        <v>0.07</v>
      </c>
      <c r="G9" s="23" t="n">
        <v>-0.01</v>
      </c>
      <c r="H9" s="23" t="n">
        <v>-0.02</v>
      </c>
      <c r="I9" s="23" t="n">
        <v>0.13</v>
      </c>
      <c r="J9" s="18" t="s">
        <v>66</v>
      </c>
    </row>
    <row r="10" customFormat="false" ht="15" hidden="false" customHeight="true" outlineLevel="0" collapsed="false">
      <c r="A10" s="15" t="s">
        <v>212</v>
      </c>
      <c r="B10" s="23" t="n">
        <v>-0.07</v>
      </c>
      <c r="C10" s="23" t="n">
        <v>-0.11</v>
      </c>
      <c r="D10" s="23" t="n">
        <v>-0.03</v>
      </c>
      <c r="E10" s="23" t="n">
        <v>-0.02</v>
      </c>
      <c r="F10" s="23" t="n">
        <v>-0.09</v>
      </c>
      <c r="G10" s="23" t="n">
        <v>-0.02</v>
      </c>
      <c r="H10" s="23" t="n">
        <v>0</v>
      </c>
      <c r="I10" s="23" t="n">
        <v>0.08</v>
      </c>
      <c r="J10" s="18" t="s">
        <v>66</v>
      </c>
    </row>
    <row r="11" customFormat="false" ht="15" hidden="false" customHeight="true" outlineLevel="0" collapsed="false">
      <c r="A11" s="19" t="s">
        <v>213</v>
      </c>
      <c r="B11" s="23" t="n">
        <v>-0.07</v>
      </c>
      <c r="C11" s="23" t="n">
        <v>-0.03</v>
      </c>
      <c r="D11" s="23" t="n">
        <v>0.03</v>
      </c>
      <c r="E11" s="23" t="n">
        <v>0.02</v>
      </c>
      <c r="F11" s="23" t="n">
        <v>0.07</v>
      </c>
      <c r="G11" s="23" t="n">
        <v>0.11</v>
      </c>
      <c r="H11" s="23" t="n">
        <v>0.07</v>
      </c>
      <c r="I11" s="23" t="n">
        <v>0.22</v>
      </c>
      <c r="J11" s="18" t="s">
        <v>66</v>
      </c>
    </row>
    <row r="13" customFormat="false" ht="27.75" hidden="false" customHeight="true" outlineLevel="0" collapsed="false">
      <c r="A13" s="14" t="s">
        <v>214</v>
      </c>
      <c r="B13" s="14" t="s">
        <v>36</v>
      </c>
      <c r="C13" s="14" t="s">
        <v>37</v>
      </c>
      <c r="D13" s="14" t="s">
        <v>38</v>
      </c>
      <c r="E13" s="14" t="s">
        <v>39</v>
      </c>
      <c r="F13" s="14" t="s">
        <v>40</v>
      </c>
      <c r="G13" s="14" t="s">
        <v>41</v>
      </c>
      <c r="H13" s="14" t="s">
        <v>42</v>
      </c>
      <c r="I13" s="14" t="s">
        <v>43</v>
      </c>
      <c r="J13" s="14" t="s">
        <v>44</v>
      </c>
    </row>
    <row r="14" customFormat="false" ht="15" hidden="false" customHeight="true" outlineLevel="0" collapsed="false">
      <c r="A14" s="15" t="s">
        <v>215</v>
      </c>
      <c r="B14" s="23" t="n">
        <v>0.11</v>
      </c>
      <c r="C14" s="23" t="n">
        <v>0.27</v>
      </c>
      <c r="D14" s="23" t="n">
        <v>0.58</v>
      </c>
      <c r="E14" s="23" t="n">
        <v>0.19</v>
      </c>
      <c r="F14" s="23" t="n">
        <v>0.33</v>
      </c>
      <c r="G14" s="23" t="n">
        <v>0.44</v>
      </c>
      <c r="H14" s="23" t="n">
        <v>0.48</v>
      </c>
      <c r="I14" s="23" t="n">
        <v>0.72</v>
      </c>
      <c r="J14" s="18" t="s">
        <v>66</v>
      </c>
    </row>
    <row r="15" customFormat="false" ht="15" hidden="false" customHeight="true" outlineLevel="0" collapsed="false">
      <c r="A15" s="15" t="s">
        <v>216</v>
      </c>
      <c r="B15" s="23" t="n">
        <v>0.1</v>
      </c>
      <c r="C15" s="23" t="n">
        <v>-0.13</v>
      </c>
      <c r="D15" s="23" t="n">
        <v>-0.23</v>
      </c>
      <c r="E15" s="23" t="n">
        <v>0.04</v>
      </c>
      <c r="F15" s="23" t="n">
        <v>0.19</v>
      </c>
      <c r="G15" s="23" t="n">
        <v>0.36</v>
      </c>
      <c r="H15" s="23" t="n">
        <v>0.16</v>
      </c>
      <c r="I15" s="23" t="n">
        <v>0.06</v>
      </c>
      <c r="J15" s="18" t="s">
        <v>66</v>
      </c>
    </row>
    <row r="16" customFormat="false" ht="15" hidden="false" customHeight="true" outlineLevel="0" collapsed="false">
      <c r="A16" s="15" t="s">
        <v>217</v>
      </c>
      <c r="B16" s="23" t="n">
        <v>-0.29</v>
      </c>
      <c r="C16" s="23" t="n">
        <v>-0.22</v>
      </c>
      <c r="D16" s="23" t="n">
        <v>0.01</v>
      </c>
      <c r="E16" s="23" t="n">
        <v>0.18</v>
      </c>
      <c r="F16" s="23" t="n">
        <v>0.09</v>
      </c>
      <c r="G16" s="23" t="n">
        <v>0.14</v>
      </c>
      <c r="H16" s="23" t="n">
        <v>0.03</v>
      </c>
      <c r="I16" s="23" t="n">
        <v>-0.08</v>
      </c>
      <c r="J16" s="18" t="s">
        <v>66</v>
      </c>
    </row>
    <row r="17" customFormat="false" ht="15" hidden="false" customHeight="true" outlineLevel="0" collapsed="false">
      <c r="A17" s="15" t="s">
        <v>218</v>
      </c>
      <c r="B17" s="23" t="n">
        <v>0.25</v>
      </c>
      <c r="C17" s="23" t="n">
        <v>0.06</v>
      </c>
      <c r="D17" s="23" t="n">
        <v>0.04</v>
      </c>
      <c r="E17" s="23" t="n">
        <v>-0.24</v>
      </c>
      <c r="F17" s="51"/>
      <c r="G17" s="51"/>
      <c r="H17" s="51"/>
      <c r="I17" s="51"/>
      <c r="J17" s="18" t="s">
        <v>66</v>
      </c>
    </row>
    <row r="18" customFormat="false" ht="15" hidden="false" customHeight="true" outlineLevel="0" collapsed="false">
      <c r="A18" s="19" t="s">
        <v>219</v>
      </c>
      <c r="B18" s="23" t="n">
        <v>0.05</v>
      </c>
      <c r="C18" s="23" t="n">
        <v>0.02</v>
      </c>
      <c r="D18" s="23" t="n">
        <v>0.13</v>
      </c>
      <c r="E18" s="23" t="n">
        <v>0.09</v>
      </c>
      <c r="F18" s="23" t="n">
        <v>0.23</v>
      </c>
      <c r="G18" s="23" t="n">
        <v>0.37</v>
      </c>
      <c r="H18" s="23" t="n">
        <v>0.32</v>
      </c>
      <c r="I18" s="23" t="n">
        <v>0.33</v>
      </c>
      <c r="J18" s="18" t="s">
        <v>66</v>
      </c>
    </row>
    <row r="20" customFormat="false" ht="15" hidden="false" customHeight="true" outlineLevel="0" collapsed="false">
      <c r="A20" s="22" t="s">
        <v>220</v>
      </c>
    </row>
    <row r="21" customFormat="false" ht="42" hidden="false" customHeight="true" outlineLevel="0" collapsed="false">
      <c r="A21" s="41" t="s">
        <v>221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2"/>
    <col collapsed="false" customWidth="true" hidden="false" outlineLevel="0" max="4" min="4" style="1" width="52"/>
    <col collapsed="false" customWidth="true" hidden="false" outlineLevel="0" max="5" min="5" style="1" width="30"/>
    <col collapsed="false" customWidth="true" hidden="false" outlineLevel="0" max="6" min="6" style="1" width="16"/>
    <col collapsed="false" customWidth="true" hidden="false" outlineLevel="0" max="9" min="7" style="1" width="13"/>
  </cols>
  <sheetData>
    <row r="1" customFormat="false" ht="15" hidden="false" customHeight="true" outlineLevel="0" collapsed="false">
      <c r="A1" s="11" t="s">
        <v>222</v>
      </c>
    </row>
    <row r="2" customFormat="false" ht="15" hidden="false" customHeight="true" outlineLevel="0" collapsed="false">
      <c r="A2" s="12" t="s">
        <v>223</v>
      </c>
    </row>
    <row r="4" customFormat="false" ht="27.75" hidden="false" customHeight="true" outlineLevel="0" collapsed="false">
      <c r="A4" s="14" t="s">
        <v>224</v>
      </c>
      <c r="B4" s="14" t="s">
        <v>225</v>
      </c>
      <c r="C4" s="14" t="s">
        <v>226</v>
      </c>
      <c r="D4" s="14" t="s">
        <v>227</v>
      </c>
      <c r="E4" s="14" t="s">
        <v>172</v>
      </c>
      <c r="F4" s="14" t="s">
        <v>44</v>
      </c>
    </row>
    <row r="5" customFormat="false" ht="15" hidden="false" customHeight="true" outlineLevel="0" collapsed="false">
      <c r="A5" s="15" t="s">
        <v>228</v>
      </c>
      <c r="B5" s="26" t="n">
        <v>8642</v>
      </c>
      <c r="C5" s="26" t="n">
        <v>1285</v>
      </c>
      <c r="D5" s="26" t="n">
        <v>893</v>
      </c>
      <c r="E5" s="12" t="s">
        <v>177</v>
      </c>
      <c r="F5" s="18" t="s">
        <v>66</v>
      </c>
    </row>
    <row r="6" customFormat="false" ht="15" hidden="false" customHeight="true" outlineLevel="0" collapsed="false">
      <c r="A6" s="15" t="s">
        <v>229</v>
      </c>
      <c r="B6" s="26" t="n">
        <v>3600</v>
      </c>
      <c r="C6" s="47"/>
      <c r="D6" s="47"/>
      <c r="E6" s="12" t="s">
        <v>177</v>
      </c>
      <c r="F6" s="18" t="s">
        <v>66</v>
      </c>
    </row>
    <row r="7" customFormat="false" ht="15" hidden="false" customHeight="true" outlineLevel="0" collapsed="false">
      <c r="A7" s="15" t="s">
        <v>230</v>
      </c>
      <c r="B7" s="26" t="n">
        <v>1289</v>
      </c>
      <c r="C7" s="26" t="n">
        <v>710</v>
      </c>
      <c r="D7" s="26" t="n">
        <v>208</v>
      </c>
      <c r="E7" s="12" t="s">
        <v>183</v>
      </c>
      <c r="F7" s="18" t="s">
        <v>66</v>
      </c>
    </row>
    <row r="8" customFormat="false" ht="15" hidden="false" customHeight="true" outlineLevel="0" collapsed="false">
      <c r="A8" s="15" t="s">
        <v>231</v>
      </c>
      <c r="B8" s="26" t="n">
        <v>4411</v>
      </c>
      <c r="C8" s="26" t="n">
        <v>1873</v>
      </c>
      <c r="D8" s="47"/>
      <c r="E8" s="12" t="s">
        <v>186</v>
      </c>
      <c r="F8" s="18" t="s">
        <v>66</v>
      </c>
    </row>
    <row r="9" customFormat="false" ht="15" hidden="false" customHeight="true" outlineLevel="0" collapsed="false">
      <c r="A9" s="15" t="s">
        <v>232</v>
      </c>
      <c r="B9" s="26" t="n">
        <v>8148</v>
      </c>
      <c r="C9" s="26" t="n">
        <v>1923</v>
      </c>
      <c r="D9" s="26" t="n">
        <v>1021</v>
      </c>
      <c r="E9" s="12" t="s">
        <v>188</v>
      </c>
      <c r="F9" s="18" t="s">
        <v>66</v>
      </c>
    </row>
    <row r="10" customFormat="false" ht="15" hidden="false" customHeight="true" outlineLevel="0" collapsed="false">
      <c r="A10" s="15" t="s">
        <v>233</v>
      </c>
      <c r="B10" s="26" t="n">
        <v>11739</v>
      </c>
      <c r="C10" s="26" t="n">
        <v>2821</v>
      </c>
      <c r="D10" s="47"/>
      <c r="E10" s="12" t="s">
        <v>190</v>
      </c>
      <c r="F10" s="18" t="s">
        <v>66</v>
      </c>
    </row>
    <row r="11" customFormat="false" ht="15" hidden="false" customHeight="true" outlineLevel="0" collapsed="false">
      <c r="A11" s="15" t="s">
        <v>234</v>
      </c>
      <c r="B11" s="26" t="n">
        <v>1870</v>
      </c>
      <c r="C11" s="26" t="n">
        <v>728</v>
      </c>
      <c r="D11" s="47"/>
      <c r="E11" s="12" t="s">
        <v>235</v>
      </c>
      <c r="F11" s="18" t="s">
        <v>66</v>
      </c>
    </row>
    <row r="12" customFormat="false" ht="15" hidden="false" customHeight="true" outlineLevel="0" collapsed="false">
      <c r="A12" s="15" t="s">
        <v>236</v>
      </c>
      <c r="B12" s="26" t="n">
        <v>6241</v>
      </c>
      <c r="C12" s="26" t="n">
        <v>1315</v>
      </c>
      <c r="D12" s="47"/>
      <c r="E12" s="12" t="s">
        <v>237</v>
      </c>
      <c r="F12" s="18" t="s">
        <v>66</v>
      </c>
    </row>
    <row r="13" customFormat="false" ht="15" hidden="false" customHeight="true" outlineLevel="0" collapsed="false">
      <c r="A13" s="52" t="s">
        <v>238</v>
      </c>
      <c r="B13" s="52" t="n">
        <f aca="false">B5-B6</f>
        <v>5042</v>
      </c>
      <c r="C13" s="52"/>
      <c r="D13" s="52"/>
      <c r="E13" s="52" t="s">
        <v>239</v>
      </c>
      <c r="F13" s="53" t="s">
        <v>240</v>
      </c>
    </row>
    <row r="14" customFormat="false" ht="15" hidden="false" customHeight="true" outlineLevel="0" collapsed="false">
      <c r="A14" s="22" t="s">
        <v>241</v>
      </c>
    </row>
    <row r="17" customFormat="false" ht="15" hidden="false" customHeight="true" outlineLevel="0" collapsed="false">
      <c r="A17" s="11" t="s">
        <v>242</v>
      </c>
    </row>
    <row r="18" customFormat="false" ht="15" hidden="false" customHeight="true" outlineLevel="0" collapsed="false">
      <c r="A18" s="12" t="s">
        <v>243</v>
      </c>
    </row>
    <row r="19" customFormat="false" ht="15" hidden="false" customHeight="true" outlineLevel="0" collapsed="false">
      <c r="A19" s="14" t="s">
        <v>168</v>
      </c>
      <c r="B19" s="14" t="s">
        <v>225</v>
      </c>
      <c r="C19" s="14" t="s">
        <v>226</v>
      </c>
      <c r="D19" s="14" t="s">
        <v>244</v>
      </c>
      <c r="E19" s="14" t="s">
        <v>44</v>
      </c>
    </row>
    <row r="20" customFormat="false" ht="30" hidden="false" customHeight="true" outlineLevel="0" collapsed="false">
      <c r="A20" s="54" t="s">
        <v>245</v>
      </c>
      <c r="B20" s="27"/>
      <c r="D20" s="49"/>
      <c r="E20" s="37"/>
    </row>
    <row r="21" customFormat="false" ht="30" hidden="false" customHeight="true" outlineLevel="0" collapsed="false">
      <c r="A21" s="19" t="s">
        <v>39</v>
      </c>
      <c r="B21" s="27" t="n">
        <f aca="false">B8-B7</f>
        <v>3122</v>
      </c>
      <c r="C21" s="27" t="n">
        <f aca="false">C8-C7</f>
        <v>1163</v>
      </c>
      <c r="D21" s="49" t="s">
        <v>246</v>
      </c>
      <c r="E21" s="28" t="s">
        <v>247</v>
      </c>
    </row>
    <row r="22" customFormat="false" ht="30" hidden="false" customHeight="true" outlineLevel="0" collapsed="false">
      <c r="A22" s="19" t="s">
        <v>40</v>
      </c>
      <c r="B22" s="27" t="n">
        <f aca="false">B9-B8</f>
        <v>3737</v>
      </c>
      <c r="C22" s="24"/>
      <c r="D22" s="49" t="s">
        <v>248</v>
      </c>
      <c r="E22" s="28" t="s">
        <v>247</v>
      </c>
    </row>
    <row r="23" customFormat="false" ht="30" hidden="false" customHeight="true" outlineLevel="0" collapsed="false">
      <c r="A23" s="19" t="s">
        <v>41</v>
      </c>
      <c r="B23" s="27" t="n">
        <f aca="false">B10-B9</f>
        <v>3591</v>
      </c>
      <c r="C23" s="27" t="n">
        <f aca="false">C10-C9</f>
        <v>898</v>
      </c>
      <c r="D23" s="49" t="s">
        <v>249</v>
      </c>
      <c r="E23" s="28" t="s">
        <v>240</v>
      </c>
    </row>
    <row r="24" customFormat="false" ht="30" hidden="false" customHeight="true" outlineLevel="0" collapsed="false">
      <c r="A24" s="19" t="s">
        <v>43</v>
      </c>
      <c r="B24" s="27" t="n">
        <f aca="false">B12-B11</f>
        <v>4371</v>
      </c>
      <c r="C24" s="27" t="n">
        <f aca="false">C12-C11</f>
        <v>587</v>
      </c>
      <c r="D24" s="49" t="s">
        <v>250</v>
      </c>
      <c r="E24" s="28" t="s">
        <v>240</v>
      </c>
    </row>
    <row r="26" customFormat="false" ht="15" hidden="false" customHeight="true" outlineLevel="0" collapsed="false">
      <c r="A26" s="22" t="s">
        <v>251</v>
      </c>
    </row>
    <row r="27" customFormat="false" ht="15" hidden="false" customHeight="true" outlineLevel="0" collapsed="false">
      <c r="A27" s="22"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16"/>
    <col collapsed="false" customWidth="true" hidden="false" outlineLevel="0" max="4" min="4" style="1" width="74"/>
    <col collapsed="false" customWidth="true" hidden="false" outlineLevel="0" max="5" min="5" style="1" width="46"/>
    <col collapsed="false" customWidth="true" hidden="false" outlineLevel="0" max="6" min="6" style="1" width="40"/>
    <col collapsed="false" customWidth="true" hidden="false" outlineLevel="0" max="9" min="7" style="1" width="13"/>
  </cols>
  <sheetData>
    <row r="1" customFormat="false" ht="15" hidden="false" customHeight="true" outlineLevel="0" collapsed="false">
      <c r="A1" s="11" t="s">
        <v>253</v>
      </c>
    </row>
    <row r="3" customFormat="false" ht="27.75" hidden="false" customHeight="true" outlineLevel="0" collapsed="false">
      <c r="A3" s="14" t="s">
        <v>254</v>
      </c>
      <c r="B3" s="14" t="s">
        <v>255</v>
      </c>
      <c r="C3" s="14" t="s">
        <v>256</v>
      </c>
      <c r="D3" s="14" t="s">
        <v>257</v>
      </c>
      <c r="E3" s="14" t="s">
        <v>258</v>
      </c>
      <c r="F3" s="14" t="s">
        <v>259</v>
      </c>
    </row>
    <row r="4" customFormat="false" ht="61.5" hidden="false" customHeight="true" outlineLevel="0" collapsed="false">
      <c r="A4" s="55" t="n">
        <v>1</v>
      </c>
      <c r="B4" s="56" t="s">
        <v>260</v>
      </c>
      <c r="C4" s="56" t="s">
        <v>41</v>
      </c>
      <c r="D4" s="56" t="s">
        <v>261</v>
      </c>
      <c r="E4" s="56" t="s">
        <v>262</v>
      </c>
      <c r="F4" s="56" t="s">
        <v>263</v>
      </c>
    </row>
    <row r="5" customFormat="false" ht="61.5" hidden="false" customHeight="true" outlineLevel="0" collapsed="false">
      <c r="A5" s="55" t="n">
        <v>2</v>
      </c>
      <c r="B5" s="57" t="s">
        <v>264</v>
      </c>
      <c r="C5" s="56" t="s">
        <v>42</v>
      </c>
      <c r="D5" s="56" t="s">
        <v>265</v>
      </c>
      <c r="E5" s="56" t="s">
        <v>266</v>
      </c>
      <c r="F5" s="56" t="s">
        <v>267</v>
      </c>
    </row>
    <row r="6" customFormat="false" ht="61.5" hidden="false" customHeight="true" outlineLevel="0" collapsed="false">
      <c r="A6" s="55" t="n">
        <v>3</v>
      </c>
      <c r="B6" s="58" t="s">
        <v>268</v>
      </c>
      <c r="C6" s="56" t="s">
        <v>269</v>
      </c>
      <c r="D6" s="56" t="s">
        <v>270</v>
      </c>
      <c r="E6" s="56" t="s">
        <v>271</v>
      </c>
      <c r="F6" s="56" t="s">
        <v>272</v>
      </c>
    </row>
    <row r="7" customFormat="false" ht="61.5" hidden="false" customHeight="true" outlineLevel="0" collapsed="false">
      <c r="A7" s="55" t="n">
        <v>4</v>
      </c>
      <c r="B7" s="56" t="s">
        <v>273</v>
      </c>
      <c r="C7" s="56" t="s">
        <v>40</v>
      </c>
      <c r="D7" s="56" t="s">
        <v>274</v>
      </c>
      <c r="E7" s="56" t="s">
        <v>275</v>
      </c>
      <c r="F7" s="56" t="s">
        <v>276</v>
      </c>
    </row>
    <row r="8" customFormat="false" ht="61.5" hidden="false" customHeight="true" outlineLevel="0" collapsed="false">
      <c r="A8" s="55" t="n">
        <v>5</v>
      </c>
      <c r="B8" s="56" t="s">
        <v>277</v>
      </c>
      <c r="C8" s="56" t="s">
        <v>42</v>
      </c>
      <c r="D8" s="56" t="s">
        <v>278</v>
      </c>
      <c r="E8" s="56" t="s">
        <v>279</v>
      </c>
      <c r="F8" s="56" t="s">
        <v>280</v>
      </c>
    </row>
    <row r="9" customFormat="false" ht="61.5" hidden="false" customHeight="true" outlineLevel="0" collapsed="false">
      <c r="A9" s="55" t="n">
        <v>6</v>
      </c>
      <c r="B9" s="56" t="s">
        <v>281</v>
      </c>
      <c r="C9" s="56" t="s">
        <v>40</v>
      </c>
      <c r="D9" s="56" t="s">
        <v>282</v>
      </c>
      <c r="E9" s="56" t="s">
        <v>283</v>
      </c>
      <c r="F9" s="56" t="s">
        <v>284</v>
      </c>
    </row>
    <row r="10" customFormat="false" ht="61.5" hidden="false" customHeight="true" outlineLevel="0" collapsed="false">
      <c r="A10" s="55" t="n">
        <v>7</v>
      </c>
      <c r="B10" s="57" t="s">
        <v>285</v>
      </c>
      <c r="C10" s="56" t="s">
        <v>286</v>
      </c>
      <c r="D10" s="56" t="s">
        <v>287</v>
      </c>
      <c r="E10" s="56" t="s">
        <v>288</v>
      </c>
      <c r="F10" s="56" t="s">
        <v>289</v>
      </c>
    </row>
    <row r="11" customFormat="false" ht="61.5" hidden="false" customHeight="true" outlineLevel="0" collapsed="false">
      <c r="A11" s="55" t="n">
        <v>8</v>
      </c>
      <c r="B11" s="56" t="s">
        <v>290</v>
      </c>
      <c r="C11" s="56" t="s">
        <v>286</v>
      </c>
      <c r="D11" s="56" t="s">
        <v>291</v>
      </c>
      <c r="E11" s="56" t="s">
        <v>292</v>
      </c>
      <c r="F11" s="56" t="s">
        <v>293</v>
      </c>
    </row>
    <row r="12" customFormat="false" ht="57.75" hidden="false" customHeight="true" outlineLevel="0" collapsed="false">
      <c r="A12" s="55" t="n">
        <v>9</v>
      </c>
      <c r="B12" s="57" t="s">
        <v>294</v>
      </c>
      <c r="C12" s="56" t="s">
        <v>42</v>
      </c>
      <c r="D12" s="56" t="s">
        <v>295</v>
      </c>
      <c r="E12" s="56" t="s">
        <v>296</v>
      </c>
      <c r="F12" s="56" t="s">
        <v>297</v>
      </c>
    </row>
    <row r="13" customFormat="false" ht="57.75" hidden="false" customHeight="true" outlineLevel="0" collapsed="false">
      <c r="A13" s="55" t="n">
        <v>10</v>
      </c>
      <c r="B13" s="57" t="s">
        <v>298</v>
      </c>
      <c r="C13" s="56" t="s">
        <v>43</v>
      </c>
      <c r="D13" s="56" t="s">
        <v>299</v>
      </c>
      <c r="E13" s="56" t="s">
        <v>300</v>
      </c>
      <c r="F13" s="56" t="s">
        <v>301</v>
      </c>
    </row>
    <row r="14" customFormat="false" ht="57.75" hidden="false" customHeight="true" outlineLevel="0" collapsed="false">
      <c r="A14" s="55" t="n">
        <v>11</v>
      </c>
      <c r="B14" s="57" t="s">
        <v>302</v>
      </c>
      <c r="C14" s="56" t="s">
        <v>39</v>
      </c>
      <c r="D14" s="56" t="s">
        <v>303</v>
      </c>
      <c r="E14" s="56" t="s">
        <v>304</v>
      </c>
      <c r="F14" s="56" t="s">
        <v>305</v>
      </c>
    </row>
    <row r="15" customFormat="false" ht="91.5" hidden="false" customHeight="true" outlineLevel="0" collapsed="false">
      <c r="A15" s="56" t="s">
        <v>306</v>
      </c>
      <c r="B15" s="57" t="s">
        <v>307</v>
      </c>
      <c r="C15" s="56" t="s">
        <v>308</v>
      </c>
      <c r="D15" s="56" t="s">
        <v>309</v>
      </c>
      <c r="E15" s="56" t="s">
        <v>310</v>
      </c>
      <c r="F15" s="56" t="s">
        <v>311</v>
      </c>
    </row>
    <row r="16" customFormat="false" ht="69.75" hidden="false" customHeight="true" outlineLevel="0" collapsed="false">
      <c r="A16" s="56" t="s">
        <v>312</v>
      </c>
      <c r="B16" s="57" t="s">
        <v>313</v>
      </c>
      <c r="C16" s="56" t="s">
        <v>314</v>
      </c>
      <c r="D16" s="56" t="s">
        <v>315</v>
      </c>
      <c r="E16" s="56" t="s">
        <v>316</v>
      </c>
      <c r="F16" s="56" t="s">
        <v>317</v>
      </c>
    </row>
    <row r="17" customFormat="false" ht="73.5" hidden="false" customHeight="true" outlineLevel="0" collapsed="false">
      <c r="A17" s="56" t="s">
        <v>318</v>
      </c>
      <c r="B17" s="57" t="s">
        <v>319</v>
      </c>
      <c r="C17" s="56" t="s">
        <v>320</v>
      </c>
      <c r="D17" s="56" t="s">
        <v>321</v>
      </c>
      <c r="E17" s="56" t="s">
        <v>322</v>
      </c>
      <c r="F17" s="56" t="s">
        <v>323</v>
      </c>
    </row>
    <row r="18" customFormat="false" ht="79.5" hidden="false" customHeight="true" outlineLevel="0" collapsed="false">
      <c r="A18" s="56" t="s">
        <v>324</v>
      </c>
      <c r="B18" s="57" t="s">
        <v>325</v>
      </c>
      <c r="C18" s="56" t="s">
        <v>308</v>
      </c>
      <c r="D18" s="56" t="s">
        <v>326</v>
      </c>
      <c r="E18" s="56" t="s">
        <v>327</v>
      </c>
      <c r="F18" s="56" t="s">
        <v>328</v>
      </c>
    </row>
    <row r="19" customFormat="false" ht="79.5" hidden="false" customHeight="true" outlineLevel="0" collapsed="false">
      <c r="A19" s="56" t="s">
        <v>329</v>
      </c>
      <c r="B19" s="57" t="s">
        <v>330</v>
      </c>
      <c r="C19" s="56" t="s">
        <v>320</v>
      </c>
      <c r="D19" s="56" t="s">
        <v>331</v>
      </c>
      <c r="E19" s="56" t="s">
        <v>332</v>
      </c>
      <c r="F19" s="56"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86"/>
    <col collapsed="false" customWidth="true" hidden="false" outlineLevel="0" max="4" min="4" style="1" width="48"/>
    <col collapsed="false" customWidth="true" hidden="false" outlineLevel="0" max="9" min="5" style="1" width="13"/>
  </cols>
  <sheetData>
    <row r="1" customFormat="false" ht="15" hidden="false" customHeight="true" outlineLevel="0" collapsed="false">
      <c r="A1" s="11" t="s">
        <v>334</v>
      </c>
    </row>
    <row r="3" customFormat="false" ht="27.75" hidden="false" customHeight="true" outlineLevel="0" collapsed="false">
      <c r="A3" s="14" t="s">
        <v>168</v>
      </c>
      <c r="B3" s="14" t="s">
        <v>335</v>
      </c>
      <c r="C3" s="14" t="s">
        <v>336</v>
      </c>
      <c r="D3" s="14" t="s">
        <v>337</v>
      </c>
    </row>
    <row r="4" customFormat="false" ht="25.5" hidden="false" customHeight="true" outlineLevel="0" collapsed="false">
      <c r="A4" s="56" t="s">
        <v>36</v>
      </c>
      <c r="B4" s="56" t="s">
        <v>338</v>
      </c>
      <c r="C4" s="59" t="s">
        <v>339</v>
      </c>
      <c r="D4" s="60" t="s">
        <v>340</v>
      </c>
    </row>
    <row r="5" customFormat="false" ht="25.5" hidden="false" customHeight="true" outlineLevel="0" collapsed="false">
      <c r="A5" s="56" t="s">
        <v>37</v>
      </c>
      <c r="B5" s="56" t="s">
        <v>341</v>
      </c>
      <c r="C5" s="59" t="s">
        <v>342</v>
      </c>
      <c r="D5" s="60" t="s">
        <v>343</v>
      </c>
    </row>
    <row r="6" customFormat="false" ht="25.5" hidden="false" customHeight="true" outlineLevel="0" collapsed="false">
      <c r="A6" s="56" t="s">
        <v>38</v>
      </c>
      <c r="B6" s="56" t="s">
        <v>344</v>
      </c>
      <c r="C6" s="59" t="s">
        <v>345</v>
      </c>
      <c r="D6" s="60" t="s">
        <v>346</v>
      </c>
    </row>
    <row r="7" customFormat="false" ht="25.5" hidden="false" customHeight="true" outlineLevel="0" collapsed="false">
      <c r="A7" s="56" t="s">
        <v>39</v>
      </c>
      <c r="B7" s="56" t="s">
        <v>347</v>
      </c>
      <c r="C7" s="59" t="s">
        <v>348</v>
      </c>
      <c r="D7" s="60" t="s">
        <v>340</v>
      </c>
    </row>
    <row r="8" customFormat="false" ht="25.5" hidden="false" customHeight="true" outlineLevel="0" collapsed="false">
      <c r="A8" s="56" t="s">
        <v>40</v>
      </c>
      <c r="B8" s="56" t="s">
        <v>349</v>
      </c>
      <c r="C8" s="59" t="s">
        <v>350</v>
      </c>
      <c r="D8" s="60" t="s">
        <v>340</v>
      </c>
    </row>
    <row r="9" customFormat="false" ht="25.5" hidden="false" customHeight="true" outlineLevel="0" collapsed="false">
      <c r="A9" s="56" t="s">
        <v>41</v>
      </c>
      <c r="B9" s="56" t="s">
        <v>351</v>
      </c>
      <c r="C9" s="59" t="s">
        <v>352</v>
      </c>
      <c r="D9" s="60" t="s">
        <v>343</v>
      </c>
    </row>
    <row r="10" customFormat="false" ht="25.5" hidden="false" customHeight="true" outlineLevel="0" collapsed="false">
      <c r="A10" s="56" t="s">
        <v>42</v>
      </c>
      <c r="B10" s="56" t="s">
        <v>353</v>
      </c>
      <c r="C10" s="59" t="s">
        <v>354</v>
      </c>
      <c r="D10" s="60" t="s">
        <v>355</v>
      </c>
    </row>
    <row r="11" customFormat="false" ht="25.5" hidden="false" customHeight="true" outlineLevel="0" collapsed="false">
      <c r="A11" s="56" t="s">
        <v>43</v>
      </c>
      <c r="B11" s="56" t="s">
        <v>356</v>
      </c>
      <c r="C11" s="59" t="s">
        <v>357</v>
      </c>
      <c r="D11" s="60" t="s">
        <v>355</v>
      </c>
    </row>
    <row r="12" customFormat="false" ht="25.5" hidden="false" customHeight="true" outlineLevel="0" collapsed="false">
      <c r="A12" s="56" t="s">
        <v>39</v>
      </c>
      <c r="B12" s="56" t="s">
        <v>358</v>
      </c>
      <c r="C12" s="59" t="s">
        <v>359</v>
      </c>
      <c r="D12" s="60" t="s">
        <v>360</v>
      </c>
    </row>
    <row r="13" customFormat="false" ht="25.5" hidden="false" customHeight="true" outlineLevel="0" collapsed="false">
      <c r="A13" s="56" t="s">
        <v>43</v>
      </c>
      <c r="B13" s="56" t="s">
        <v>358</v>
      </c>
      <c r="C13" s="59" t="s">
        <v>361</v>
      </c>
      <c r="D13" s="60" t="s">
        <v>362</v>
      </c>
    </row>
    <row r="14" customFormat="false" ht="25.5" hidden="false" customHeight="true" outlineLevel="0" collapsed="false">
      <c r="A14" s="56" t="s">
        <v>43</v>
      </c>
      <c r="B14" s="56" t="s">
        <v>363</v>
      </c>
      <c r="C14" s="59" t="s">
        <v>364</v>
      </c>
      <c r="D14" s="60" t="s">
        <v>365</v>
      </c>
    </row>
    <row r="15" customFormat="false" ht="25.5" hidden="false" customHeight="true" outlineLevel="0" collapsed="false">
      <c r="A15" s="56" t="s">
        <v>43</v>
      </c>
      <c r="B15" s="56" t="s">
        <v>366</v>
      </c>
      <c r="C15" s="61" t="s">
        <v>367</v>
      </c>
      <c r="D15" s="56" t="s">
        <v>368</v>
      </c>
    </row>
    <row r="16" customFormat="false" ht="25.5" hidden="false" customHeight="true" outlineLevel="0" collapsed="false">
      <c r="A16" s="56" t="s">
        <v>43</v>
      </c>
      <c r="B16" s="56" t="s">
        <v>369</v>
      </c>
      <c r="C16" s="59" t="s">
        <v>370</v>
      </c>
      <c r="D16" s="60" t="s">
        <v>371</v>
      </c>
    </row>
    <row r="17" customFormat="false" ht="15" hidden="false" customHeight="true" outlineLevel="0" collapsed="false">
      <c r="A17" s="56" t="s">
        <v>42</v>
      </c>
      <c r="B17" s="56" t="s">
        <v>369</v>
      </c>
      <c r="C17" s="59" t="s">
        <v>372</v>
      </c>
      <c r="D17" s="60" t="s">
        <v>373</v>
      </c>
    </row>
    <row r="18" customFormat="false" ht="15" hidden="false" customHeight="true" outlineLevel="0" collapsed="false">
      <c r="A18" s="56" t="s">
        <v>42</v>
      </c>
      <c r="B18" s="56" t="s">
        <v>374</v>
      </c>
      <c r="C18" s="61" t="s">
        <v>375</v>
      </c>
      <c r="D18" s="56" t="s">
        <v>376</v>
      </c>
    </row>
    <row r="19" customFormat="false" ht="15" hidden="false" customHeight="true" outlineLevel="0" collapsed="false">
      <c r="A19" s="62" t="s">
        <v>377</v>
      </c>
      <c r="B19" s="62" t="s">
        <v>378</v>
      </c>
      <c r="C19" s="62" t="s">
        <v>379</v>
      </c>
      <c r="D19" s="62" t="s">
        <v>380</v>
      </c>
    </row>
    <row r="20" customFormat="false" ht="15" hidden="false" customHeight="true" outlineLevel="0" collapsed="false">
      <c r="A20" s="15" t="s">
        <v>39</v>
      </c>
      <c r="B20" s="15" t="s">
        <v>358</v>
      </c>
      <c r="C20" s="15" t="s">
        <v>359</v>
      </c>
      <c r="D20" s="15" t="s">
        <v>381</v>
      </c>
    </row>
    <row r="21" customFormat="false" ht="15" hidden="false" customHeight="true" outlineLevel="0" collapsed="false">
      <c r="A21" s="15" t="s">
        <v>41</v>
      </c>
      <c r="B21" s="15" t="s">
        <v>351</v>
      </c>
      <c r="C21" s="15" t="s">
        <v>352</v>
      </c>
      <c r="D21" s="15" t="s">
        <v>382</v>
      </c>
    </row>
    <row r="22" customFormat="false" ht="15" hidden="false" customHeight="true" outlineLevel="0" collapsed="false">
      <c r="A22" s="15" t="s">
        <v>42</v>
      </c>
      <c r="B22" s="15" t="s">
        <v>353</v>
      </c>
      <c r="C22" s="15" t="s">
        <v>354</v>
      </c>
      <c r="D22" s="15" t="s">
        <v>383</v>
      </c>
    </row>
    <row r="23" customFormat="false" ht="15" hidden="false" customHeight="true" outlineLevel="0" collapsed="false">
      <c r="A23" s="15" t="s">
        <v>43</v>
      </c>
      <c r="B23" s="15" t="s">
        <v>356</v>
      </c>
      <c r="C23" s="15" t="s">
        <v>357</v>
      </c>
      <c r="D23" s="15" t="s">
        <v>384</v>
      </c>
    </row>
    <row r="24" customFormat="false" ht="15" hidden="false" customHeight="true" outlineLevel="0" collapsed="false">
      <c r="A24" s="15" t="s">
        <v>43</v>
      </c>
      <c r="B24" s="15" t="s">
        <v>385</v>
      </c>
      <c r="C24" s="15" t="s">
        <v>370</v>
      </c>
      <c r="D24" s="15" t="s">
        <v>386</v>
      </c>
    </row>
  </sheetData>
  <hyperlinks>
    <hyperlink ref="C4" r:id="rId1" display="https://www.caterpillar.com/content/dam/caterpillarDotCom/releases/3q24/3q24-caterpillar-inc-financial-results.pdf"/>
    <hyperlink ref="C5" r:id="rId2" display="https://www.caterpillar.com/content/dam/caterpillarDotCom/releases/4q24/4q24-caterpillar-inc-financial-results.pdf"/>
    <hyperlink ref="C6" r:id="rId3" display="https://www.caterpillar.com/content/dam/caterpillarDotCom/releases/1q25/1q25-caterpillar-inc-financial-results.pdf"/>
    <hyperlink ref="C7" r:id="rId4" display="https://www.caterpillar.com/content/dam/caterpillarDotCom/releases/2q25/2q25-caterpillar-inc-financial-results.pdf"/>
    <hyperlink ref="C8" r:id="rId5" display="https://www.caterpillar.com/content/dam/caterpillarDotCom/releases/3q25/3q25-caterpillar-inc-financial-results.pdf"/>
    <hyperlink ref="C9" r:id="rId6" display="https://www.caterpillar.com/content/dam/caterpillarDotCom/releases/4q25/4q25-caterpillar-inc-financial-results.pdf"/>
    <hyperlink ref="C10" r:id="rId7" display="https://www.caterpillar.com/content/dam/caterpillarDotCom/releases/1q26/1q26-caterpillar-inc-financial-results.pdf"/>
    <hyperlink ref="C11" r:id="rId8" display="https://www.caterpillar.com/content/dam/caterpillarDotCom/releases/2q26/2q26-caterpillar-inc-financial-results.pdf"/>
    <hyperlink ref="C12" r:id="rId9" display="https://www.sec.gov/Archives/edgar/data/18230/000001823025000037/ex992toformcat2q2025retail.htm"/>
    <hyperlink ref="C13" r:id="rId10" display="https://www.sec.gov/Archives/edgar/data/18230/000001823026000040/ex992toformcat2q2026retail.htm"/>
    <hyperlink ref="C14" r:id="rId11" display="https://www.sec.gov/Archives/edgar/data/18230/000001823026000040/ex991toformcat2q2026earnin.htm"/>
    <hyperlink ref="C15" r:id="rId12" display="https://www.sec.gov/Archives/edgar/data/18230/000001823026000046/cat-20260630.htm"/>
    <hyperlink ref="C16" r:id="rId13" display="https://www.fool.com/earnings/call-transcripts/2026/08/11/caterpillar-cat-q2-2026-earnings-call-transcript/"/>
    <hyperlink ref="C17" r:id="rId14" display="https://www.fool.com/earnings/call-transcripts/2026/04/30/caterpillar-cat-q1-2026-earnings-transcript/"/>
    <hyperlink ref="C18" r:id="rId15" display="https://www.sec.gov/Archives/edgar/data/18230/000001823026000021/cat-20260331.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2026-10-02T20:11:04Z</dcterms:created>
  <dc:creator>openpyxl</dc:creator>
  <dc:description/>
  <dc:language>en-US</dc:language>
  <cp:lastModifiedBy/>
  <dcterms:modified xsi:type="dcterms:W3CDTF">2026-10-14T17:08:11Z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